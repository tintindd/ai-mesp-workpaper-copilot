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D03015_IRM(SAP)" sheetId="1" state="visible" r:id="rId1"/>
    <sheet xmlns:r="http://schemas.openxmlformats.org/officeDocument/2006/relationships" name="CKM3" sheetId="2" state="visible" r:id="rId2"/>
  </sheets>
  <definedNames/>
  <calcPr calcId="124519" fullCalcOnLoad="1"/>
</workbook>
</file>

<file path=xl/styles.xml><?xml version="1.0" encoding="utf-8"?>
<styleSheet xmlns="http://schemas.openxmlformats.org/spreadsheetml/2006/main">
  <numFmts count="1">
    <numFmt numFmtId="164" formatCode="_(* #,##0_);_(* \(#,##0\);_(* &quot;-&quot;??_);_(@_)"/>
  </numFmts>
  <fonts count="20">
    <font>
      <name val="Calibri"/>
      <family val="2"/>
      <color theme="1"/>
      <sz val="11"/>
      <scheme val="minor"/>
    </font>
    <font>
      <name val="Arial"/>
      <family val="2"/>
      <sz val="10"/>
    </font>
    <font>
      <name val="KPMG Light"/>
      <family val="2"/>
      <color theme="0"/>
      <sz val="36"/>
    </font>
    <font>
      <name val="Arial"/>
      <charset val="134"/>
      <family val="2"/>
      <color theme="1"/>
      <sz val="10"/>
    </font>
    <font>
      <name val="Arial"/>
      <family val="2"/>
      <color theme="0"/>
      <sz val="10"/>
    </font>
    <font>
      <name val="Arial"/>
      <family val="2"/>
      <i val="1"/>
      <sz val="11"/>
    </font>
    <font>
      <name val="Microsoft YaHei UI"/>
      <charset val="134"/>
      <family val="2"/>
      <b val="1"/>
      <color theme="1"/>
      <sz val="10"/>
    </font>
    <font>
      <name val="Arial"/>
      <family val="2"/>
      <b val="1"/>
      <color theme="1"/>
      <sz val="10"/>
    </font>
    <font>
      <name val="Arial"/>
      <family val="2"/>
      <color theme="1"/>
      <sz val="10"/>
    </font>
    <font>
      <name val="Arial"/>
      <family val="2"/>
      <b val="1"/>
      <i val="1"/>
      <color theme="1"/>
      <sz val="10"/>
    </font>
    <font>
      <name val="Arial"/>
      <family val="2"/>
      <b val="1"/>
      <color theme="1"/>
      <sz val="11"/>
    </font>
    <font>
      <name val="Arial"/>
      <family val="2"/>
      <b val="1"/>
      <color rgb="FF7030A0"/>
      <sz val="10"/>
    </font>
    <font>
      <name val="Arial"/>
      <family val="2"/>
      <b val="1"/>
      <color theme="0"/>
      <sz val="11"/>
    </font>
    <font>
      <name val="Arial"/>
      <family val="2"/>
      <b val="1"/>
      <color theme="0"/>
      <sz val="10"/>
    </font>
    <font>
      <name val="Arial"/>
      <family val="2"/>
      <sz val="11"/>
    </font>
    <font>
      <name val="微软雅黑"/>
      <charset val="134"/>
      <family val="2"/>
      <b val="1"/>
      <color theme="0"/>
      <sz val="11"/>
    </font>
    <font>
      <name val="Microsoft YaHei UI"/>
      <charset val="134"/>
      <family val="2"/>
      <b val="1"/>
      <color theme="0"/>
      <sz val="10"/>
    </font>
    <font>
      <name val="Arial"/>
      <family val="2"/>
      <b val="1"/>
      <sz val="11"/>
    </font>
    <font>
      <name val="Arial"/>
      <family val="2"/>
      <b val="1"/>
      <color theme="7" tint="-0.249977111117893"/>
      <sz val="11"/>
    </font>
    <font>
      <name val="Calibri"/>
      <charset val="134"/>
      <color theme="1"/>
      <sz val="11"/>
      <scheme val="minor"/>
    </font>
  </fonts>
  <fills count="9">
    <fill>
      <patternFill/>
    </fill>
    <fill>
      <patternFill patternType="gray125"/>
    </fill>
    <fill>
      <patternFill patternType="solid">
        <fgColor rgb="FF00338D"/>
        <bgColor indexed="64"/>
      </patternFill>
    </fill>
    <fill>
      <patternFill patternType="solid">
        <fgColor theme="0"/>
        <bgColor indexed="64"/>
      </patternFill>
    </fill>
    <fill>
      <patternFill patternType="solid">
        <fgColor theme="4" tint="0.7999816888943144"/>
        <bgColor indexed="64"/>
      </patternFill>
    </fill>
    <fill>
      <patternFill patternType="solid">
        <fgColor theme="1"/>
        <bgColor indexed="64"/>
      </patternFill>
    </fill>
    <fill>
      <patternFill patternType="solid">
        <fgColor theme="0" tint="-0.249977111117893"/>
        <bgColor indexed="64"/>
      </patternFill>
    </fill>
    <fill>
      <patternFill patternType="solid">
        <fgColor rgb="0000338D"/>
      </patternFill>
    </fill>
    <fill>
      <patternFill patternType="solid">
        <fgColor rgb="FF00338D"/>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s>
  <cellStyleXfs count="1">
    <xf numFmtId="0" fontId="0" fillId="0" borderId="0"/>
  </cellStyleXfs>
  <cellXfs count="93">
    <xf numFmtId="0" fontId="0" fillId="0" borderId="0" pivotButton="0" quotePrefix="0" xfId="0"/>
    <xf numFmtId="0" fontId="1" fillId="2" borderId="0" pivotButton="0" quotePrefix="0" xfId="0"/>
    <xf numFmtId="43" fontId="1" fillId="2" borderId="0" pivotButton="0" quotePrefix="0" xfId="0"/>
    <xf numFmtId="0" fontId="1" fillId="2" borderId="0" applyAlignment="1" pivotButton="0" quotePrefix="0" xfId="0">
      <alignment wrapText="1"/>
    </xf>
    <xf numFmtId="0" fontId="2" fillId="2" borderId="0" pivotButton="0" quotePrefix="0" xfId="0"/>
    <xf numFmtId="0" fontId="3" fillId="2" borderId="0" applyAlignment="1" pivotButton="0" quotePrefix="0" xfId="0">
      <alignment wrapText="1"/>
    </xf>
    <xf numFmtId="0" fontId="3" fillId="2" borderId="0" pivotButton="0" quotePrefix="0" xfId="0"/>
    <xf numFmtId="43" fontId="3" fillId="2" borderId="0" pivotButton="0" quotePrefix="0" xfId="0"/>
    <xf numFmtId="0" fontId="4" fillId="2" borderId="0" applyAlignment="1" pivotButton="0" quotePrefix="0" xfId="0">
      <alignment vertical="top"/>
    </xf>
    <xf numFmtId="43" fontId="4" fillId="2" borderId="0" applyAlignment="1" pivotButton="0" quotePrefix="0" xfId="0">
      <alignment vertical="top"/>
    </xf>
    <xf numFmtId="0" fontId="5" fillId="3" borderId="0" applyAlignment="1" pivotButton="0" quotePrefix="0" xfId="0">
      <alignment vertical="top" wrapText="1"/>
    </xf>
    <xf numFmtId="43" fontId="5" fillId="3" borderId="0" applyAlignment="1" pivotButton="0" quotePrefix="0" xfId="0">
      <alignment vertical="top" wrapText="1"/>
    </xf>
    <xf numFmtId="0" fontId="6" fillId="0" borderId="0" pivotButton="0" quotePrefix="0" xfId="0"/>
    <xf numFmtId="0" fontId="7" fillId="0" borderId="1" applyAlignment="1" pivotButton="0" quotePrefix="0" xfId="0">
      <alignment horizontal="center"/>
    </xf>
    <xf numFmtId="0" fontId="6" fillId="3" borderId="0" applyAlignment="1" pivotButton="0" quotePrefix="0" xfId="0">
      <alignment horizontal="center"/>
    </xf>
    <xf numFmtId="43" fontId="6" fillId="3" borderId="0" applyAlignment="1" pivotButton="0" quotePrefix="0" xfId="0">
      <alignment horizontal="center"/>
    </xf>
    <xf numFmtId="0" fontId="1" fillId="3" borderId="0" pivotButton="0" quotePrefix="0" xfId="0"/>
    <xf numFmtId="0" fontId="7" fillId="4" borderId="1" applyAlignment="1" pivotButton="0" quotePrefix="0" xfId="0">
      <alignment horizontal="center" vertical="center" wrapText="1"/>
    </xf>
    <xf numFmtId="0" fontId="7" fillId="3" borderId="0" applyAlignment="1" pivotButton="0" quotePrefix="0" xfId="0">
      <alignment horizontal="center" vertical="center" wrapText="1"/>
    </xf>
    <xf numFmtId="43" fontId="7" fillId="3" borderId="0" applyAlignment="1" pivotButton="0" quotePrefix="0" xfId="0">
      <alignment horizontal="center" vertical="center" wrapText="1"/>
    </xf>
    <xf numFmtId="0" fontId="8" fillId="3" borderId="0" pivotButton="0" quotePrefix="0" xfId="0"/>
    <xf numFmtId="0" fontId="9" fillId="3" borderId="0" pivotButton="0" quotePrefix="0" xfId="0"/>
    <xf numFmtId="0" fontId="7" fillId="4" borderId="1" applyAlignment="1" pivotButton="0" quotePrefix="0" xfId="0">
      <alignment horizontal="center" vertical="center"/>
    </xf>
    <xf numFmtId="43" fontId="7" fillId="3" borderId="0" applyAlignment="1" pivotButton="0" quotePrefix="0" xfId="0">
      <alignment horizontal="center" vertical="center"/>
    </xf>
    <xf numFmtId="0" fontId="7" fillId="3" borderId="0" applyAlignment="1" pivotButton="0" quotePrefix="0" xfId="0">
      <alignment horizontal="center" vertical="center"/>
    </xf>
    <xf numFmtId="9" fontId="10" fillId="3" borderId="0" applyAlignment="1" pivotButton="0" quotePrefix="0" xfId="0">
      <alignment horizontal="center"/>
    </xf>
    <xf numFmtId="0" fontId="7" fillId="3" borderId="0" pivotButton="0" quotePrefix="0" xfId="0"/>
    <xf numFmtId="43" fontId="7" fillId="3" borderId="0" pivotButton="0" quotePrefix="0" xfId="0"/>
    <xf numFmtId="0" fontId="7" fillId="4" borderId="1" applyAlignment="1" pivotButton="0" quotePrefix="0" xfId="0">
      <alignment horizontal="center"/>
    </xf>
    <xf numFmtId="0" fontId="7" fillId="3" borderId="0" applyAlignment="1" pivotButton="0" quotePrefix="0" xfId="0">
      <alignment horizontal="center"/>
    </xf>
    <xf numFmtId="43" fontId="7" fillId="3" borderId="0" applyAlignment="1" pivotButton="0" quotePrefix="0" xfId="0">
      <alignment horizontal="center"/>
    </xf>
    <xf numFmtId="14" fontId="7" fillId="3" borderId="0" applyAlignment="1" pivotButton="0" quotePrefix="0" xfId="0">
      <alignment horizontal="center"/>
    </xf>
    <xf numFmtId="0" fontId="11" fillId="3" borderId="0" applyAlignment="1" pivotButton="0" quotePrefix="0" xfId="0">
      <alignment horizontal="left" vertical="top" wrapText="1"/>
    </xf>
    <xf numFmtId="0" fontId="12" fillId="2" borderId="2" applyAlignment="1" pivotButton="0" quotePrefix="0" xfId="0">
      <alignment horizontal="center" vertical="center" wrapText="1"/>
    </xf>
    <xf numFmtId="0" fontId="12" fillId="2" borderId="3" applyAlignment="1" pivotButton="0" quotePrefix="0" xfId="0">
      <alignment horizontal="center" vertical="center" wrapText="1"/>
    </xf>
    <xf numFmtId="43" fontId="13" fillId="2" borderId="3" applyAlignment="1" pivotButton="0" quotePrefix="0" xfId="0">
      <alignment horizontal="center" vertical="center" wrapText="1"/>
    </xf>
    <xf numFmtId="43" fontId="12" fillId="2" borderId="2" applyAlignment="1" pivotButton="0" quotePrefix="0" xfId="0">
      <alignment horizontal="center" vertical="center" wrapText="1"/>
    </xf>
    <xf numFmtId="43" fontId="12" fillId="2" borderId="4" applyAlignment="1" pivotButton="0" quotePrefix="0" xfId="0">
      <alignment vertical="center" wrapText="1"/>
    </xf>
    <xf numFmtId="3" fontId="13" fillId="2" borderId="3" applyAlignment="1" pivotButton="0" quotePrefix="0" xfId="0">
      <alignment horizontal="center" vertical="top" wrapText="1"/>
    </xf>
    <xf numFmtId="43" fontId="14" fillId="3" borderId="0" pivotButton="0" quotePrefix="0" xfId="0"/>
    <xf numFmtId="0" fontId="14" fillId="3" borderId="0" pivotButton="0" quotePrefix="0" xfId="0"/>
    <xf numFmtId="0" fontId="12" fillId="2" borderId="5" applyAlignment="1" pivotButton="0" quotePrefix="0" xfId="0">
      <alignment horizontal="center" vertical="center" wrapText="1"/>
    </xf>
    <xf numFmtId="0" fontId="15" fillId="2" borderId="5" applyAlignment="1" pivotButton="0" quotePrefix="0" xfId="0">
      <alignment horizontal="center" vertical="center" wrapText="1"/>
    </xf>
    <xf numFmtId="43" fontId="13" fillId="2" borderId="6" applyAlignment="1" pivotButton="0" quotePrefix="0" xfId="0">
      <alignment horizontal="center" vertical="center" wrapText="1"/>
    </xf>
    <xf numFmtId="43" fontId="13" fillId="2" borderId="7" applyAlignment="1" pivotButton="0" quotePrefix="0" xfId="0">
      <alignment horizontal="center" vertical="center" wrapText="1"/>
    </xf>
    <xf numFmtId="43" fontId="12" fillId="2" borderId="5" applyAlignment="1" pivotButton="0" quotePrefix="0" xfId="0">
      <alignment horizontal="center" vertical="center" wrapText="1"/>
    </xf>
    <xf numFmtId="43" fontId="15" fillId="2" borderId="5" applyAlignment="1" pivotButton="0" quotePrefix="0" xfId="0">
      <alignment horizontal="center" vertical="center" wrapText="1"/>
    </xf>
    <xf numFmtId="43" fontId="15" fillId="2" borderId="8" applyAlignment="1" pivotButton="0" quotePrefix="0" xfId="0">
      <alignment horizontal="center" vertical="center" wrapText="1"/>
    </xf>
    <xf numFmtId="43" fontId="16" fillId="2" borderId="8" applyAlignment="1" pivotButton="0" quotePrefix="0" xfId="0">
      <alignment horizontal="center" vertical="center" wrapText="1"/>
    </xf>
    <xf numFmtId="0" fontId="12" fillId="2" borderId="6" applyAlignment="1" pivotButton="0" quotePrefix="0" xfId="0">
      <alignment horizontal="center" vertical="top" wrapText="1"/>
    </xf>
    <xf numFmtId="43" fontId="12" fillId="2" borderId="9" applyAlignment="1" pivotButton="0" quotePrefix="0" xfId="0">
      <alignment horizontal="center" vertical="center" wrapText="1"/>
    </xf>
    <xf numFmtId="43" fontId="12" fillId="2" borderId="10" applyAlignment="1" pivotButton="0" quotePrefix="0" xfId="0">
      <alignment horizontal="center" vertical="center" wrapText="1"/>
    </xf>
    <xf numFmtId="0" fontId="17" fillId="3" borderId="0" pivotButton="0" quotePrefix="0" xfId="0"/>
    <xf numFmtId="0" fontId="12"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1" fillId="0" borderId="1" applyAlignment="1" pivotButton="0" quotePrefix="0" xfId="0">
      <alignment horizontal="center" vertical="center" wrapText="1"/>
    </xf>
    <xf numFmtId="43" fontId="12" fillId="3" borderId="1" applyAlignment="1" pivotButton="0" quotePrefix="0" xfId="0">
      <alignment horizontal="center" vertical="center" wrapText="1"/>
    </xf>
    <xf numFmtId="0" fontId="14" fillId="4" borderId="1" applyAlignment="1" applyProtection="1" pivotButton="0" quotePrefix="0" xfId="0">
      <alignment horizontal="center" vertical="center" wrapText="1"/>
      <protection locked="0" hidden="0"/>
    </xf>
    <xf numFmtId="43" fontId="14" fillId="4" borderId="1" applyAlignment="1" applyProtection="1" pivotButton="0" quotePrefix="0" xfId="0">
      <alignment horizontal="right" vertical="center" wrapText="1"/>
      <protection locked="0" hidden="0"/>
    </xf>
    <xf numFmtId="43" fontId="14" fillId="4" borderId="1" applyAlignment="1" applyProtection="1" pivotButton="0" quotePrefix="0" xfId="0">
      <alignment horizontal="center" vertical="center" wrapText="1"/>
      <protection locked="0" hidden="0"/>
    </xf>
    <xf numFmtId="43" fontId="14" fillId="4" borderId="1" applyAlignment="1" applyProtection="1" pivotButton="0" quotePrefix="0" xfId="0">
      <alignment horizontal="left" vertical="center" wrapText="1"/>
      <protection locked="0" hidden="0"/>
    </xf>
    <xf numFmtId="0" fontId="14" fillId="4" borderId="1" applyAlignment="1" applyProtection="1" pivotButton="0" quotePrefix="0" xfId="0">
      <alignment vertical="center" wrapText="1"/>
      <protection locked="0" hidden="0"/>
    </xf>
    <xf numFmtId="43" fontId="14" fillId="5" borderId="1" applyAlignment="1" applyProtection="1" pivotButton="0" quotePrefix="0" xfId="0">
      <alignment horizontal="left" vertical="center" wrapText="1"/>
      <protection locked="0" hidden="0"/>
    </xf>
    <xf numFmtId="43" fontId="14" fillId="6" borderId="1" applyAlignment="1" applyProtection="1" pivotButton="0" quotePrefix="0" xfId="0">
      <alignment horizontal="center" vertical="center" wrapText="1"/>
      <protection locked="0" hidden="0"/>
    </xf>
    <xf numFmtId="164" fontId="14" fillId="3" borderId="1" applyAlignment="1" applyProtection="1" pivotButton="0" quotePrefix="0" xfId="0">
      <alignment horizontal="center" vertical="top" wrapText="1"/>
      <protection locked="0" hidden="0"/>
    </xf>
    <xf numFmtId="0" fontId="14" fillId="3" borderId="0" applyAlignment="1" pivotButton="0" quotePrefix="0" xfId="0">
      <alignment vertical="top" wrapText="1"/>
    </xf>
    <xf numFmtId="1" fontId="14" fillId="4" borderId="1" applyAlignment="1" applyProtection="1" pivotButton="0" quotePrefix="0" xfId="0">
      <alignment horizontal="center" vertical="center" wrapText="1"/>
      <protection locked="0" hidden="0"/>
    </xf>
    <xf numFmtId="0" fontId="7" fillId="3" borderId="0" applyAlignment="1" pivotButton="0" quotePrefix="0" xfId="0">
      <alignment wrapText="1"/>
    </xf>
    <xf numFmtId="0" fontId="8" fillId="3" borderId="0" applyAlignment="1" pivotButton="0" quotePrefix="0" xfId="0">
      <alignment horizontal="left" wrapText="1"/>
    </xf>
    <xf numFmtId="0" fontId="19" fillId="4" borderId="0" applyAlignment="1" pivotButton="0" quotePrefix="0" xfId="0">
      <alignment vertical="center"/>
    </xf>
    <xf numFmtId="0" fontId="3" fillId="0" borderId="1" pivotButton="0" quotePrefix="0" xfId="0"/>
    <xf numFmtId="43" fontId="3" fillId="0" borderId="1" pivotButton="0" quotePrefix="0" xfId="0"/>
    <xf numFmtId="0" fontId="0" fillId="0" borderId="0" applyAlignment="1" pivotButton="0" quotePrefix="0" xfId="0">
      <alignment vertical="center"/>
    </xf>
    <xf numFmtId="0" fontId="2" fillId="7" borderId="0" pivotButton="0" quotePrefix="0" xfId="0"/>
    <xf numFmtId="0" fontId="3" fillId="7" borderId="0" applyAlignment="1" pivotButton="0" quotePrefix="0" xfId="0">
      <alignment wrapText="1"/>
    </xf>
    <xf numFmtId="0" fontId="3" fillId="7" borderId="0" pivotButton="0" quotePrefix="0" xfId="0"/>
    <xf numFmtId="43" fontId="3" fillId="7" borderId="0" pivotButton="0" quotePrefix="0" xfId="0"/>
    <xf numFmtId="0" fontId="0" fillId="7" borderId="0" pivotButton="0" quotePrefix="0" xfId="0"/>
    <xf numFmtId="0" fontId="1" fillId="7" borderId="0" pivotButton="0" quotePrefix="0" xfId="0"/>
    <xf numFmtId="0" fontId="4" fillId="7" borderId="0" applyAlignment="1" pivotButton="0" quotePrefix="0" xfId="0">
      <alignment vertical="top"/>
    </xf>
    <xf numFmtId="43" fontId="4" fillId="7" borderId="0" applyAlignment="1" pivotButton="0" quotePrefix="0" xfId="0">
      <alignment vertical="top"/>
    </xf>
    <xf numFmtId="0" fontId="1" fillId="7" borderId="0" applyAlignment="1" pivotButton="0" quotePrefix="0" xfId="0">
      <alignment wrapText="1"/>
    </xf>
    <xf numFmtId="0" fontId="0" fillId="0" borderId="13" pivotButton="0" quotePrefix="0" xfId="0"/>
    <xf numFmtId="0" fontId="0" fillId="0" borderId="4" pivotButton="0" quotePrefix="0" xfId="0"/>
    <xf numFmtId="0" fontId="2" fillId="8" borderId="0" pivotButton="0" quotePrefix="0" xfId="0"/>
    <xf numFmtId="0" fontId="3" fillId="8" borderId="0" applyAlignment="1" pivotButton="0" quotePrefix="0" xfId="0">
      <alignment wrapText="1"/>
    </xf>
    <xf numFmtId="0" fontId="3" fillId="8" borderId="0" pivotButton="0" quotePrefix="0" xfId="0"/>
    <xf numFmtId="43" fontId="3" fillId="8" borderId="0" pivotButton="0" quotePrefix="0" xfId="0"/>
    <xf numFmtId="0" fontId="0" fillId="8" borderId="0" pivotButton="0" quotePrefix="0" xfId="0"/>
    <xf numFmtId="0" fontId="1" fillId="8" borderId="0" pivotButton="0" quotePrefix="0" xfId="0"/>
    <xf numFmtId="0" fontId="4" fillId="8" borderId="0" applyAlignment="1" pivotButton="0" quotePrefix="0" xfId="0">
      <alignment vertical="top"/>
    </xf>
    <xf numFmtId="43" fontId="4" fillId="8" borderId="0" applyAlignment="1" pivotButton="0" quotePrefix="0" xfId="0">
      <alignment vertical="top"/>
    </xf>
    <xf numFmtId="0" fontId="1" fillId="8"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K988"/>
  <sheetViews>
    <sheetView workbookViewId="0">
      <pane ySplit="18" topLeftCell="A19" activePane="bottomLeft" state="frozen"/>
      <selection pane="bottomLeft" activeCell="A1" sqref="A1"/>
    </sheetView>
  </sheetViews>
  <sheetFormatPr baseColWidth="8" defaultColWidth="10.08984375" defaultRowHeight="16.5"/>
  <cols>
    <col width="17.81640625" customWidth="1" min="1" max="1"/>
    <col width="17.54296875" customWidth="1" min="2" max="2"/>
    <col width="16.90625" customWidth="1" min="3" max="3"/>
    <col width="16.6328125" customWidth="1" min="4" max="4"/>
    <col width="14.08984375" customWidth="1" min="5" max="5"/>
    <col width="18.1796875" customWidth="1" min="6" max="6"/>
    <col width="25.08984375" customWidth="1" min="7" max="7"/>
    <col width="42.81640625" customWidth="1" min="8" max="8"/>
    <col hidden="1" outlineLevel="1" width="17.81640625" customWidth="1" min="9" max="9"/>
    <col width="19.08984375" customWidth="1" min="10" max="10"/>
    <col width="13.36328125" customWidth="1" min="11" max="11"/>
    <col width="13" customWidth="1" min="12" max="12"/>
    <col width="18.81640625" customWidth="1" min="14" max="14"/>
    <col width="25.54296875" customWidth="1" min="15" max="15"/>
    <col width="23.90625" customWidth="1" min="16" max="16"/>
    <col width="15" customWidth="1" min="17" max="17"/>
    <col width="75.1796875" customWidth="1" min="18" max="18"/>
    <col width="35.81640625" customWidth="1" min="19" max="19"/>
    <col width="42.36328125" customWidth="1" min="20" max="20"/>
    <col width="35.81640625" customWidth="1" min="21" max="21"/>
    <col width="40.81640625" customWidth="1" min="22" max="22"/>
    <col width="39.54296875" customWidth="1" min="23" max="23"/>
    <col width="40.81640625" customWidth="1" min="24" max="24"/>
    <col width="32.36328125" customWidth="1" min="25" max="25"/>
    <col width="10.08984375" customWidth="1" min="26" max="26"/>
    <col width="10.08984375" customWidth="1" min="36" max="36"/>
  </cols>
  <sheetData>
    <row r="1" outlineLevel="1" ht="14.5" customHeight="1">
      <c r="A1" s="1" t="n"/>
      <c r="B1" s="1" t="n"/>
      <c r="C1" s="1" t="n"/>
      <c r="D1" s="1" t="n"/>
      <c r="E1" s="1" t="n"/>
      <c r="F1" s="1" t="n"/>
      <c r="G1" s="1" t="n"/>
      <c r="H1" s="1" t="n"/>
      <c r="I1" s="2" t="n"/>
      <c r="J1" s="2" t="n"/>
      <c r="K1" s="2" t="n"/>
      <c r="L1" s="2" t="n"/>
      <c r="M1" s="2" t="n"/>
      <c r="N1" s="1" t="n"/>
      <c r="O1" s="1" t="n"/>
      <c r="P1" s="1" t="n"/>
      <c r="Q1" s="1" t="n"/>
      <c r="R1" s="1" t="n"/>
      <c r="S1" s="1" t="n"/>
      <c r="T1" s="1" t="n"/>
      <c r="U1" s="1" t="n"/>
      <c r="V1" s="1" t="n"/>
      <c r="W1" s="1" t="n"/>
      <c r="X1" s="1" t="n"/>
      <c r="Y1" s="1" t="n"/>
      <c r="Z1" s="1" t="n"/>
      <c r="AA1" s="1" t="n"/>
      <c r="AB1" s="1" t="n"/>
      <c r="AC1" s="1" t="n"/>
      <c r="AD1" s="1" t="n"/>
      <c r="AE1" s="1" t="n"/>
      <c r="AF1" s="1" t="n"/>
      <c r="AG1" s="3" t="n"/>
      <c r="AH1" s="1" t="n"/>
      <c r="AI1" s="1" t="n"/>
    </row>
    <row r="2" outlineLevel="1" ht="50" customHeight="1">
      <c r="A2" s="84" t="inlineStr">
        <is>
          <t>kpmg    Inventory cost variance
 allocation (standard
cost method) –
recalculate
存货成本差异分摊（标准成本法）— 重新计算</t>
        </is>
      </c>
      <c r="B2" s="85" t="n"/>
      <c r="C2" s="85" t="n"/>
      <c r="D2" s="85" t="n"/>
      <c r="E2" s="85" t="n"/>
      <c r="F2" s="86" t="n"/>
      <c r="G2" s="86" t="n"/>
      <c r="H2" s="86" t="n"/>
      <c r="I2" s="87" t="n"/>
      <c r="J2" s="87" t="n"/>
      <c r="K2" s="87" t="n"/>
      <c r="L2" s="87" t="n"/>
      <c r="M2" s="87" t="n"/>
      <c r="N2" s="88" t="n"/>
      <c r="O2" s="88" t="n"/>
      <c r="P2" s="88" t="n"/>
      <c r="Q2" s="88" t="n"/>
      <c r="R2" s="89" t="n"/>
      <c r="S2" s="88" t="n"/>
      <c r="T2" s="88" t="n"/>
      <c r="U2" s="88" t="n"/>
      <c r="V2" s="88" t="n"/>
      <c r="W2" s="88" t="n"/>
      <c r="X2" s="88" t="n"/>
      <c r="Y2" s="88" t="n"/>
      <c r="Z2" s="88" t="n"/>
      <c r="AA2" s="88" t="n"/>
      <c r="AB2" s="88" t="n"/>
      <c r="AC2" s="88" t="n"/>
      <c r="AD2" s="88" t="n"/>
      <c r="AE2" s="88" t="n"/>
      <c r="AF2" s="88" t="n"/>
      <c r="AG2" s="88" t="n"/>
      <c r="AH2" s="88" t="n"/>
      <c r="AI2" s="88" t="n"/>
      <c r="AJ2" s="88" t="n"/>
      <c r="AK2" s="88" t="n"/>
    </row>
    <row r="3" outlineLevel="1" ht="14.5" customHeight="1">
      <c r="A3" s="90" t="inlineStr">
        <is>
          <t>(This substantive procedure template is used to test the inventory cost variance allocation) (本实质性程序模板用于测试存货成本差异分摊)</t>
        </is>
      </c>
      <c r="B3" s="90" t="n"/>
      <c r="C3" s="90" t="n"/>
      <c r="D3" s="90" t="n"/>
      <c r="E3" s="90" t="n"/>
      <c r="F3" s="90" t="n"/>
      <c r="G3" s="90" t="n"/>
      <c r="H3" s="90" t="n"/>
      <c r="I3" s="91" t="n"/>
      <c r="J3" s="91" t="n"/>
      <c r="K3" s="91" t="n"/>
      <c r="L3" s="91" t="n"/>
      <c r="M3" s="91" t="n"/>
      <c r="N3" s="90" t="n"/>
      <c r="O3" s="90" t="n"/>
      <c r="P3" s="89" t="n"/>
      <c r="Q3" s="89" t="n"/>
      <c r="R3" s="89" t="n"/>
      <c r="S3" s="89" t="n"/>
      <c r="T3" s="89" t="n"/>
      <c r="U3" s="89" t="n"/>
      <c r="V3" s="89" t="n"/>
      <c r="W3" s="89" t="n"/>
      <c r="X3" s="89" t="n"/>
      <c r="Y3" s="89" t="n"/>
      <c r="Z3" s="89" t="n"/>
      <c r="AA3" s="89" t="n"/>
      <c r="AB3" s="89" t="n"/>
      <c r="AC3" s="89" t="n"/>
      <c r="AD3" s="89" t="n"/>
      <c r="AE3" s="89" t="n"/>
      <c r="AF3" s="89" t="n"/>
      <c r="AG3" s="92" t="n"/>
      <c r="AH3" s="89" t="n"/>
      <c r="AI3" s="89" t="n"/>
      <c r="AJ3" s="88" t="n"/>
      <c r="AK3" s="88" t="n"/>
    </row>
    <row r="4" outlineLevel="1">
      <c r="A4" s="10" t="n"/>
      <c r="B4" s="10" t="n"/>
      <c r="C4" s="10" t="n"/>
      <c r="D4" s="10" t="n"/>
      <c r="E4" s="10" t="n"/>
      <c r="F4" s="10" t="n"/>
      <c r="G4" s="10" t="n"/>
      <c r="H4" s="10" t="n"/>
      <c r="I4" s="11" t="n"/>
      <c r="J4" s="11" t="n"/>
      <c r="K4" s="11" t="n"/>
      <c r="L4" s="11" t="n"/>
      <c r="M4" s="11" t="n"/>
      <c r="N4" s="10" t="n"/>
      <c r="O4" s="10" t="n"/>
      <c r="P4" s="10" t="n"/>
      <c r="Q4" s="10" t="n"/>
      <c r="R4" s="10" t="n"/>
    </row>
    <row r="5" outlineLevel="1">
      <c r="A5" s="12" t="inlineStr">
        <is>
          <t>Procedure ID 程序编号</t>
        </is>
      </c>
      <c r="C5" s="13" t="inlineStr">
        <is>
          <t>SPD03015</t>
        </is>
      </c>
      <c r="F5" s="14" t="n"/>
      <c r="G5" s="14" t="n"/>
      <c r="H5" s="14" t="n"/>
      <c r="I5" s="15" t="n"/>
      <c r="J5" s="15" t="n"/>
      <c r="K5" s="15" t="n"/>
      <c r="L5" s="15" t="n"/>
      <c r="M5" s="15" t="n"/>
      <c r="N5" s="14" t="n"/>
      <c r="O5" s="10" t="n"/>
      <c r="P5" s="10" t="n"/>
      <c r="Q5" s="10" t="n"/>
      <c r="R5" s="10" t="n"/>
    </row>
    <row r="6" outlineLevel="1" ht="26" customHeight="1">
      <c r="A6" s="16" t="inlineStr">
        <is>
          <t>Currency
币种</t>
        </is>
      </c>
      <c r="C6" s="17" t="inlineStr">
        <is>
          <t>Rmb
人民币</t>
        </is>
      </c>
      <c r="F6" s="18" t="n"/>
      <c r="G6" s="18" t="n"/>
      <c r="H6" s="18" t="n"/>
      <c r="I6" s="19" t="n"/>
      <c r="J6" s="19" t="n"/>
      <c r="K6" s="19" t="n"/>
      <c r="L6" s="19" t="n"/>
      <c r="M6" s="19" t="n"/>
      <c r="N6" s="18" t="n"/>
      <c r="P6" s="20" t="n"/>
      <c r="Q6" s="21" t="n"/>
      <c r="R6" s="10" t="n"/>
    </row>
    <row r="7" outlineLevel="1">
      <c r="A7" s="16" t="inlineStr">
        <is>
          <t>Unit (e.g. 000s, millions)
单位（例如千、百万）</t>
        </is>
      </c>
      <c r="C7" s="22" t="inlineStr">
        <is>
          <t xml:space="preserve"> </t>
        </is>
      </c>
      <c r="F7" s="14" t="n"/>
      <c r="G7" s="14" t="n"/>
      <c r="H7" s="14" t="n"/>
      <c r="I7" s="15" t="n"/>
      <c r="J7" s="15" t="n"/>
      <c r="K7" s="15" t="n"/>
      <c r="L7" s="15" t="n"/>
      <c r="M7" s="23" t="n"/>
      <c r="N7" s="24" t="n"/>
      <c r="P7" s="25" t="n"/>
      <c r="Q7" s="20" t="n"/>
      <c r="R7" s="10" t="n"/>
    </row>
    <row r="8" outlineLevel="1">
      <c r="A8" s="20" t="n"/>
      <c r="C8" s="26" t="n"/>
      <c r="F8" s="26" t="n"/>
      <c r="G8" s="26" t="n"/>
      <c r="H8" s="26" t="n"/>
      <c r="I8" s="27" t="n"/>
      <c r="J8" s="27" t="n"/>
      <c r="K8" s="27" t="n"/>
      <c r="L8" s="27" t="n"/>
      <c r="M8" s="27" t="n"/>
      <c r="N8" s="26" t="n"/>
      <c r="O8" s="20" t="n"/>
      <c r="P8" s="20" t="n"/>
      <c r="Q8" s="20" t="n"/>
      <c r="R8" s="10" t="n"/>
    </row>
    <row r="9" outlineLevel="1">
      <c r="A9" s="20" t="inlineStr">
        <is>
          <t>Period start date
期间开始日</t>
        </is>
      </c>
      <c r="C9" s="28" t="n">
        <v>45292</v>
      </c>
      <c r="F9" s="29" t="n"/>
      <c r="G9" s="29" t="n"/>
      <c r="H9" s="29" t="n"/>
      <c r="I9" s="30" t="n"/>
      <c r="J9" s="30" t="n"/>
      <c r="K9" s="30" t="n"/>
      <c r="L9" s="30" t="n"/>
      <c r="M9" s="30" t="n"/>
      <c r="N9" s="31" t="n"/>
      <c r="O9" s="20" t="n"/>
      <c r="P9" s="20" t="n"/>
      <c r="Q9" s="20" t="n"/>
      <c r="R9" s="10" t="n"/>
    </row>
    <row r="10" outlineLevel="1">
      <c r="A10" s="20" t="inlineStr">
        <is>
          <t>Period end date
期间截止日</t>
        </is>
      </c>
      <c r="C10" s="28" t="n">
        <v>45657</v>
      </c>
      <c r="F10" s="29" t="n"/>
      <c r="G10" s="29" t="n"/>
      <c r="H10" s="29" t="n"/>
      <c r="I10" s="30" t="n"/>
      <c r="J10" s="30" t="n"/>
      <c r="K10" s="30" t="n"/>
      <c r="L10" s="30" t="n"/>
      <c r="M10" s="30" t="n"/>
      <c r="N10" s="31" t="n"/>
      <c r="O10" s="20" t="n"/>
      <c r="P10" s="10" t="n"/>
      <c r="Q10" s="20" t="n"/>
      <c r="R10" s="10" t="n"/>
    </row>
    <row r="11" outlineLevel="1">
      <c r="A11" s="10" t="n"/>
      <c r="B11" s="10" t="n"/>
      <c r="C11" s="10" t="n"/>
      <c r="D11" s="10" t="n"/>
      <c r="E11" s="10" t="n"/>
      <c r="F11" s="10" t="n"/>
      <c r="G11" s="10" t="n"/>
      <c r="H11" s="10" t="n"/>
      <c r="I11" s="11" t="n"/>
      <c r="J11" s="11" t="n"/>
      <c r="K11" s="11" t="n"/>
      <c r="L11" s="11" t="n"/>
      <c r="M11" s="11" t="n"/>
      <c r="N11" s="10" t="n"/>
      <c r="O11" s="10" t="n"/>
      <c r="P11" s="10" t="n"/>
      <c r="Q11" s="10" t="n"/>
      <c r="R11" s="10" t="n"/>
    </row>
    <row r="12" outlineLevel="1">
      <c r="A12" s="10" t="n"/>
      <c r="B12" s="10" t="n"/>
      <c r="C12" s="10" t="n"/>
      <c r="D12" s="10" t="n"/>
      <c r="E12" s="10" t="n"/>
      <c r="F12" s="10" t="n"/>
      <c r="G12" s="10" t="n"/>
      <c r="H12" s="10" t="n"/>
      <c r="I12" s="11" t="n"/>
      <c r="J12" s="11" t="n"/>
      <c r="K12" s="11" t="n"/>
      <c r="L12" s="11" t="n"/>
      <c r="M12" s="11" t="n"/>
      <c r="N12" s="10" t="n"/>
      <c r="O12" s="10" t="n"/>
      <c r="P12" s="10" t="n"/>
      <c r="Q12" s="10" t="n"/>
      <c r="R12" s="10" t="n"/>
    </row>
    <row r="13" outlineLevel="1" ht="29.75" customHeight="1">
      <c r="A13" s="32" t="inlineStr">
        <is>
          <t>The testing steps are the steps listed for the procedure in the workflow screen. Add additional rows and columns as necessary if more testing steps are needed.
测试步骤是指工作流程工作屏中列出的本程序相关步骤。如需增加测试步骤，请根据需要增加表格的行数和列数。</t>
        </is>
      </c>
      <c r="R13" s="10" t="n"/>
    </row>
    <row r="14" outlineLevel="1" ht="29.15" customHeight="1">
      <c r="A14" s="32" t="inlineStr">
        <is>
          <t>If the sample size for the substantive procedure is greater than the number of rows in the table below, copy and paste rows rather than inserting blank rows, to ensure that the formulas and pick-list options flow down to all rows.
如果实质性程序的样本量超过下表行数，请进行复制粘贴（而非插入空白行）以确保公式和列表选项覆盖所有行。</t>
        </is>
      </c>
      <c r="R14" s="10" t="n"/>
    </row>
    <row r="15" outlineLevel="1" ht="17" customHeight="1">
      <c r="A15" s="10" t="n"/>
      <c r="B15" s="10" t="n"/>
      <c r="C15" s="10" t="n"/>
      <c r="D15" s="10" t="n"/>
      <c r="E15" s="10" t="n"/>
      <c r="F15" s="10" t="n"/>
      <c r="G15" s="10" t="n"/>
      <c r="H15" s="10" t="n"/>
      <c r="I15" s="11" t="n"/>
      <c r="J15" s="11" t="n"/>
      <c r="K15" s="11" t="n"/>
      <c r="L15" s="11" t="n"/>
      <c r="M15" s="11" t="n"/>
      <c r="N15" s="10" t="n"/>
      <c r="O15" s="10" t="n"/>
      <c r="P15" s="10" t="n"/>
      <c r="Q15" s="10" t="n"/>
      <c r="R15" s="10" t="n"/>
    </row>
    <row r="16" ht="29.75" customHeight="1">
      <c r="A16" s="33" t="n"/>
      <c r="B16" s="34" t="inlineStr">
        <is>
          <t>Per production report/sub-ledger
基于生产报告/明细账</t>
        </is>
      </c>
      <c r="C16" s="82" t="n"/>
      <c r="D16" s="82" t="n"/>
      <c r="E16" s="82" t="n"/>
      <c r="F16" s="82" t="n"/>
      <c r="G16" s="83" t="n"/>
      <c r="H16" s="35" t="inlineStr">
        <is>
          <t>Supporting document
相关文件</t>
        </is>
      </c>
      <c r="I16" s="83" t="n"/>
      <c r="J16" s="36" t="n"/>
      <c r="K16" s="36" t="inlineStr">
        <is>
          <t>4 = Reperform the calculation</t>
        </is>
      </c>
      <c r="L16" s="82" t="n"/>
      <c r="M16" s="82" t="n"/>
      <c r="N16" s="37" t="n"/>
      <c r="O16" s="38" t="inlineStr">
        <is>
          <t>Testing steps
测试步骤</t>
        </is>
      </c>
      <c r="P16" s="82" t="n"/>
      <c r="Q16" s="83" t="n"/>
      <c r="R16" s="39" t="n"/>
      <c r="AJ16" s="40" t="n"/>
    </row>
    <row r="17" ht="131" customHeight="1">
      <c r="A17" s="41" t="inlineStr">
        <is>
          <t>序号</t>
        </is>
      </c>
      <c r="B17" s="41" t="inlineStr">
        <is>
          <t xml:space="preserve">物料 ID
</t>
        </is>
      </c>
      <c r="C17" s="42" t="inlineStr">
        <is>
          <t>期间</t>
        </is>
      </c>
      <c r="D17" s="42" t="inlineStr">
        <is>
          <t>期初库存</t>
        </is>
      </c>
      <c r="E17" s="42" t="inlineStr">
        <is>
          <t>期初差异金额</t>
        </is>
      </c>
      <c r="F17" s="42" t="inlineStr">
        <is>
          <t>本期入库</t>
        </is>
      </c>
      <c r="G17" s="42" t="inlineStr">
        <is>
          <t>本月新增差异金额</t>
        </is>
      </c>
      <c r="H17" s="42" t="inlineStr">
        <is>
          <t>本月出库分摊的差异金额</t>
        </is>
      </c>
      <c r="I17" s="43" t="inlineStr">
        <is>
          <t>Working paper reference
工作底稿索引</t>
        </is>
      </c>
      <c r="J17" s="44" t="inlineStr">
        <is>
          <t>[Other RDE, if applicable (please specify)
其他相关数据要素，如适用（请注明）]</t>
        </is>
      </c>
      <c r="K17" s="45" t="inlineStr">
        <is>
          <t>The stage of completion
完成阶段</t>
        </is>
      </c>
      <c r="L17" s="46" t="inlineStr">
        <is>
          <t>重新计算差异分摊率</t>
        </is>
      </c>
      <c r="M17" s="46" t="inlineStr">
        <is>
          <t>本月出库</t>
        </is>
      </c>
      <c r="N17" s="47" t="inlineStr">
        <is>
          <t xml:space="preserve">
重新计算本月出库分摊的差异金额</t>
        </is>
      </c>
      <c r="O17" s="48" t="inlineStr">
        <is>
          <t>Variance
差异</t>
        </is>
      </c>
      <c r="P17" s="49" t="inlineStr">
        <is>
          <t xml:space="preserve">评价期末存货差异计算方法的合理性。
如果实际生产接近正常产能，则根据实际生产水平评估是否会导致对制成品的差异进行系统分配，以评估期末存货是否按照实体的成本计算公式（即先进先出、平均成本等）。'1. Evaluate the reasonableness of the approach of calculating the variances included within inventory as at the period end. Assess whether it results in a systematic allocation of the variances to the manufactured goods, based on actual production levels if actual production approximates normal capacity in order to assess whether the ending inventory is recorded in accordance with the entity’s costing formula (i.e. FIFO, average, etc.).
</t>
        </is>
      </c>
      <c r="Q17" s="50" t="inlineStr">
        <is>
          <t xml:space="preserve">在根据完成阶段（即在制品、制成品）分配人工/间接制造费用的情况下，评估分配的合理性。2.To the extent labor/overheads are allocated based on the stage of completion (i.e. work-in-progress, manufactured
finished goods) evaluate the reasonableness of the allocation.
</t>
        </is>
      </c>
      <c r="R17" s="50" t="inlineStr">
        <is>
          <t>3. Vouch the data used in the calculation to relevant documentation.
将计算中使用的数据核对至相应的支持性文件。</t>
        </is>
      </c>
      <c r="S17" s="51" t="inlineStr">
        <is>
          <t>Notes
注释</t>
        </is>
      </c>
      <c r="T17" s="52" t="inlineStr">
        <is>
          <t>Learning points</t>
        </is>
      </c>
      <c r="AJ17" s="40" t="n"/>
      <c r="AK17" s="40" t="n"/>
    </row>
    <row r="18" ht="59.5" customHeight="1">
      <c r="A18" s="53" t="n"/>
      <c r="B18" s="53" t="n"/>
      <c r="C18" s="54" t="n"/>
      <c r="D18" s="55" t="inlineStr">
        <is>
          <t>A-差异分摊表/CKM3</t>
        </is>
      </c>
      <c r="E18" s="55" t="inlineStr">
        <is>
          <t>B-差异分摊表/CKM3</t>
        </is>
      </c>
      <c r="F18" s="55" t="inlineStr">
        <is>
          <t>C-差异分摊表/CKM3</t>
        </is>
      </c>
      <c r="G18" s="55" t="inlineStr">
        <is>
          <t>D-差异分摊表/CKM3</t>
        </is>
      </c>
      <c r="H18" s="55" t="inlineStr">
        <is>
          <t>E-差异分摊表/CKM3</t>
        </is>
      </c>
      <c r="I18" s="55" t="n"/>
      <c r="J18" s="55" t="n"/>
      <c r="K18" s="55" t="n"/>
      <c r="L18" s="55" t="inlineStr">
        <is>
          <t>F=（B+D)/(A+C)</t>
        </is>
      </c>
      <c r="M18" s="55" t="inlineStr">
        <is>
          <t>G-差异分摊表/CKM3</t>
        </is>
      </c>
      <c r="N18" s="55" t="inlineStr">
        <is>
          <t>H=F*G</t>
        </is>
      </c>
      <c r="O18" s="55" t="inlineStr">
        <is>
          <t>I=H-E</t>
        </is>
      </c>
      <c r="P18" s="56" t="n"/>
      <c r="Q18" s="56" t="n"/>
      <c r="R18" s="56" t="n"/>
      <c r="S18" s="56" t="n"/>
      <c r="AJ18" s="40" t="n"/>
      <c r="AK18" s="40" t="n"/>
    </row>
    <row r="19" ht="277.25" customHeight="1">
      <c r="A19" s="57" t="inlineStr">
        <is>
          <t>1</t>
        </is>
      </c>
      <c r="B19" s="57">
        <f>'SPD03014_IRM(SAP)'!C147</f>
        <v/>
      </c>
      <c r="C19" s="57" t="n">
        <v>202412</v>
      </c>
      <c r="D19" s="58">
        <f>'CKM3'!Z10</f>
        <v/>
      </c>
      <c r="E19" s="59">
        <f>'CKM3'!Z11</f>
        <v/>
      </c>
      <c r="F19" s="58">
        <f>'CKM3'!Z12</f>
        <v/>
      </c>
      <c r="G19" s="59">
        <f>'CKM3'!Z13</f>
        <v/>
      </c>
      <c r="H19" s="59">
        <f>'CKM3'!Z15</f>
        <v/>
      </c>
      <c r="I19" s="60" t="inlineStr">
        <is>
          <t>N/A</t>
        </is>
      </c>
      <c r="J19" s="61" t="inlineStr">
        <is>
          <t>【&lt;差异分摊报表&gt;表
期初库存数量Inventory quantity at the beginning of the period
本期入库数量Inventory receipt quantity in the current period
期初库存差异Inventory amount variance at the beginning of the period
本期入库差异Inventory receipt amount variance in the current period
本期出库数量Inventory outbound quantity in the current period
本期出库差异Inventory outbound amount variance in the current period
【BOM】
审批人
审批时间</t>
        </is>
      </c>
      <c r="K19" s="62" t="n"/>
      <c r="L19" s="63">
        <f>(E19+G19)/(D19+F19)</f>
        <v/>
      </c>
      <c r="M19" s="58">
        <f>'CKM3'!Z14</f>
        <v/>
      </c>
      <c r="N19" s="63">
        <f>M19*L19</f>
        <v/>
      </c>
      <c r="O19" s="63">
        <f>N19-H19</f>
        <v/>
      </c>
      <c r="P19" s="61" t="inlineStr">
        <is>
          <t>Reasonable合理</t>
        </is>
      </c>
      <c r="Q19" s="61" t="inlineStr">
        <is>
          <t>Reasonable合理</t>
        </is>
      </c>
      <c r="R19" s="61" t="inlineStr">
        <is>
          <t>Agrees相符</t>
        </is>
      </c>
      <c r="S19" s="64" t="n"/>
      <c r="T19" s="65" t="n"/>
      <c r="U19" s="65" t="n"/>
      <c r="AJ19" s="40" t="n"/>
      <c r="AK19" s="40" t="n"/>
    </row>
    <row r="20" ht="277.25" customHeight="1">
      <c r="A20" s="57" t="inlineStr">
        <is>
          <t>2</t>
        </is>
      </c>
      <c r="B20" s="66">
        <f>'SPD03014_IRM(SAP)'!C151</f>
        <v/>
      </c>
      <c r="C20" s="57" t="n">
        <v>202407</v>
      </c>
      <c r="D20" s="58">
        <f>'CKM3'!Z56</f>
        <v/>
      </c>
      <c r="E20" s="59">
        <f>'CKM3'!Z57</f>
        <v/>
      </c>
      <c r="F20" s="58">
        <f>'CKM3'!Z58</f>
        <v/>
      </c>
      <c r="G20" s="59">
        <f>'CKM3'!Z59</f>
        <v/>
      </c>
      <c r="H20" s="59">
        <f>'CKM3'!Z61</f>
        <v/>
      </c>
      <c r="I20" s="60" t="inlineStr">
        <is>
          <t>N/A</t>
        </is>
      </c>
      <c r="J20" s="61" t="inlineStr">
        <is>
          <t>【&lt;差异分摊报表&gt;表
期初库存数量Inventory quantity at the beginning of the period
本期入库数量Inventory receipt quantity in the current period
期初库存差异Inventory amount variance at the beginning of the period
本期入库差异Inventory receipt amount variance in the current period
本期出库数量Inventory outbound quantity in the current period
本期出库差异Inventory outbound amount variance in the current period
【BOM】
审批人
审批时间</t>
        </is>
      </c>
      <c r="K20" s="62" t="n"/>
      <c r="L20" s="63">
        <f>(E20+G20)/(D20+F20)</f>
        <v/>
      </c>
      <c r="M20" s="58">
        <f>'CKM3'!Z60</f>
        <v/>
      </c>
      <c r="N20" s="63">
        <f>M20*L20</f>
        <v/>
      </c>
      <c r="O20" s="63">
        <f>N20-H20</f>
        <v/>
      </c>
      <c r="P20" s="61" t="inlineStr">
        <is>
          <t>Reasonable合理</t>
        </is>
      </c>
      <c r="Q20" s="61" t="inlineStr">
        <is>
          <t>Reasonable合理</t>
        </is>
      </c>
      <c r="R20" s="61" t="inlineStr">
        <is>
          <t>Agrees相符</t>
        </is>
      </c>
      <c r="S20" s="64" t="n"/>
      <c r="T20" s="65" t="n"/>
      <c r="U20" s="65" t="n"/>
      <c r="AJ20" s="40" t="n"/>
      <c r="AK20" s="40" t="n"/>
    </row>
    <row r="21" ht="277.25" customHeight="1">
      <c r="A21" s="57" t="inlineStr">
        <is>
          <t>3</t>
        </is>
      </c>
      <c r="B21" s="66">
        <f>'SPD03014_IRM(SAP)'!C155</f>
        <v/>
      </c>
      <c r="C21" s="57" t="n">
        <v>202509</v>
      </c>
      <c r="D21" s="58">
        <f>'CKM3'!Z117</f>
        <v/>
      </c>
      <c r="E21" s="59">
        <f>'CKM3'!Z118</f>
        <v/>
      </c>
      <c r="F21" s="58">
        <f>'CKM3'!Z119</f>
        <v/>
      </c>
      <c r="G21" s="59">
        <f>'CKM3'!Z120</f>
        <v/>
      </c>
      <c r="H21" s="59">
        <f>'CKM3'!Z122</f>
        <v/>
      </c>
      <c r="I21" s="60" t="inlineStr">
        <is>
          <t>N/A</t>
        </is>
      </c>
      <c r="J21" s="61" t="inlineStr">
        <is>
          <t>【&lt;差异分摊报表&gt;表
期初库存数量Inventory quantity at the beginning of the period
本期入库数量Inventory receipt quantity in the current period
期初库存差异Inventory amount variance at the beginning of the period
本期入库差异Inventory receipt amount variance in the current period
本期出库数量Inventory outbound quantity in the current period
本期出库差异Inventory outbound amount variance in the current period
【BOM】
审批人
审批时间</t>
        </is>
      </c>
      <c r="K21" s="62" t="n"/>
      <c r="L21" s="63">
        <f>(E21+G21)/(D21+F21)</f>
        <v/>
      </c>
      <c r="M21" s="58">
        <f>'CKM3'!Z121</f>
        <v/>
      </c>
      <c r="N21" s="63">
        <f>M21*L21</f>
        <v/>
      </c>
      <c r="O21" s="63">
        <f>N21-H21</f>
        <v/>
      </c>
      <c r="P21" s="61" t="inlineStr">
        <is>
          <t>Reasonable合理</t>
        </is>
      </c>
      <c r="Q21" s="61" t="inlineStr">
        <is>
          <t>Reasonable合理</t>
        </is>
      </c>
      <c r="R21" s="61" t="inlineStr">
        <is>
          <t>Agrees相符</t>
        </is>
      </c>
      <c r="S21" s="64" t="n"/>
      <c r="T21" s="65" t="n"/>
      <c r="U21" s="65" t="n"/>
      <c r="AJ21" s="40" t="n"/>
      <c r="AK21" s="40" t="n"/>
    </row>
    <row r="22" ht="277.25" customHeight="1">
      <c r="A22" s="57" t="n">
        <v>4</v>
      </c>
      <c r="B22" s="66">
        <f>'SPD03014_IRM(SAP)'!C162</f>
        <v/>
      </c>
      <c r="C22" s="57" t="n">
        <v>202512</v>
      </c>
      <c r="D22" s="58">
        <f>'CKM3'!Z167</f>
        <v/>
      </c>
      <c r="E22" s="59">
        <f>'CKM3'!Z168</f>
        <v/>
      </c>
      <c r="F22" s="58">
        <f>'CKM3'!Z169</f>
        <v/>
      </c>
      <c r="G22" s="59">
        <f>'CKM3'!Z170</f>
        <v/>
      </c>
      <c r="H22" s="59">
        <f>'CKM3'!Z172</f>
        <v/>
      </c>
      <c r="I22" s="60" t="inlineStr">
        <is>
          <t>N/A</t>
        </is>
      </c>
      <c r="J22" s="61" t="inlineStr">
        <is>
          <t>【&lt;差异分摊报表&gt;表
期初库存数量Inventory quantity at the beginning of the period
本期入库数量Inventory receipt quantity in the current period
期初库存差异Inventory amount variance at the beginning of the period
本期入库差异Inventory receipt amount variance in the current period
本期出库数量Inventory outbound quantity in the current period
本期出库差异Inventory outbound amount variance in the current period
【BOM】
审批人
审批时间</t>
        </is>
      </c>
      <c r="K22" s="62" t="n"/>
      <c r="L22" s="63">
        <f>(E22+G22)/(D22+F22)</f>
        <v/>
      </c>
      <c r="M22" s="58">
        <f>'CKM3'!Z171</f>
        <v/>
      </c>
      <c r="N22" s="63">
        <f>M22*L22</f>
        <v/>
      </c>
      <c r="O22" s="63">
        <f>N22-H22</f>
        <v/>
      </c>
      <c r="P22" s="61" t="inlineStr">
        <is>
          <t>Reasonable合理</t>
        </is>
      </c>
      <c r="Q22" s="61" t="inlineStr">
        <is>
          <t>Reasonable合理</t>
        </is>
      </c>
      <c r="R22" s="61" t="inlineStr">
        <is>
          <t>Agrees相符</t>
        </is>
      </c>
      <c r="S22" s="64" t="n"/>
      <c r="T22" s="65" t="n"/>
      <c r="U22" s="65" t="n"/>
      <c r="AJ22" s="40" t="n"/>
      <c r="AK22" s="40" t="n"/>
    </row>
    <row r="23" ht="277.25" customHeight="1">
      <c r="A23" s="57" t="n">
        <v>5</v>
      </c>
      <c r="B23" s="66">
        <f>'SPD03014_IRM(SAP)'!C163</f>
        <v/>
      </c>
      <c r="C23" s="57" t="n">
        <v>202512</v>
      </c>
      <c r="D23" s="58">
        <f>'CKM3'!Z213</f>
        <v/>
      </c>
      <c r="E23" s="59">
        <f>'CKM3'!Z214</f>
        <v/>
      </c>
      <c r="F23" s="58">
        <f>'CKM3'!Z215</f>
        <v/>
      </c>
      <c r="G23" s="59">
        <f>'CKM3'!Z216</f>
        <v/>
      </c>
      <c r="H23" s="59">
        <f>'CKM3'!Z218</f>
        <v/>
      </c>
      <c r="I23" s="60" t="inlineStr">
        <is>
          <t>N/A</t>
        </is>
      </c>
      <c r="J23" s="61" t="inlineStr">
        <is>
          <t>【&lt;差异分摊报表&gt;表
期初库存数量Inventory quantity at the beginning of the period
本期入库数量Inventory receipt quantity in the current period
期初库存差异Inventory amount variance at the beginning of the period
本期入库差异Inventory receipt amount variance in the current period
本期出库数量Inventory outbound quantity in the current period
本期出库差异Inventory outbound amount variance in the current period
【BOM】
审批人
审批时间</t>
        </is>
      </c>
      <c r="K23" s="62" t="n"/>
      <c r="L23" s="63">
        <f>(E23+G23)/(D23+F23)</f>
        <v/>
      </c>
      <c r="M23" s="58">
        <f>'CKM3'!Z217</f>
        <v/>
      </c>
      <c r="N23" s="63">
        <f>M23*L23</f>
        <v/>
      </c>
      <c r="O23" s="63">
        <f>N23-H23</f>
        <v/>
      </c>
      <c r="P23" s="61" t="inlineStr">
        <is>
          <t>Reasonable合理</t>
        </is>
      </c>
      <c r="Q23" s="61" t="inlineStr">
        <is>
          <t>Reasonable合理</t>
        </is>
      </c>
      <c r="R23" s="61" t="inlineStr">
        <is>
          <t>Agrees相符</t>
        </is>
      </c>
      <c r="S23" s="64" t="n"/>
      <c r="T23" s="65" t="n"/>
      <c r="U23" s="65" t="n"/>
      <c r="AJ23" s="40" t="n"/>
      <c r="AK23" s="40" t="n"/>
    </row>
    <row r="24">
      <c r="F24" s="40" t="n"/>
      <c r="G24" s="40" t="n"/>
      <c r="H24" s="40" t="n"/>
      <c r="I24" s="39" t="n"/>
      <c r="J24" s="39" t="n"/>
      <c r="K24" s="39" t="n"/>
      <c r="L24" s="39" t="n"/>
      <c r="M24" s="39" t="n"/>
      <c r="N24" s="39" t="n"/>
      <c r="O24" s="39" t="n"/>
      <c r="P24" s="39" t="n"/>
      <c r="Q24" s="39" t="n"/>
      <c r="R24" s="39" t="n"/>
    </row>
    <row r="25">
      <c r="A25" s="40" t="inlineStr">
        <is>
          <t>Note: 项目组需根据被审计单位制定的存货差异分配方法修改重新计算的公式。</t>
        </is>
      </c>
      <c r="F25" s="40" t="n"/>
      <c r="G25" s="40" t="n"/>
      <c r="H25" s="40" t="n"/>
      <c r="I25" s="39" t="n"/>
      <c r="J25" s="39" t="n"/>
      <c r="K25" s="39" t="n"/>
      <c r="L25" s="39" t="n"/>
      <c r="M25" s="39" t="n"/>
      <c r="N25" s="39" t="n"/>
      <c r="O25" s="39" t="n"/>
      <c r="P25" s="39" t="n"/>
      <c r="Q25" s="39" t="n"/>
      <c r="R25" s="39" t="n"/>
    </row>
    <row r="26">
      <c r="F26" s="40" t="n"/>
      <c r="G26" s="40" t="n"/>
      <c r="H26" s="40" t="n"/>
      <c r="I26" s="39" t="n"/>
      <c r="J26" s="39" t="n"/>
      <c r="K26" s="39" t="n"/>
      <c r="L26" s="39" t="n"/>
      <c r="M26" s="39" t="n"/>
      <c r="N26" s="39" t="n"/>
      <c r="O26" s="39" t="n"/>
      <c r="P26" s="39" t="n"/>
      <c r="Q26" s="39" t="n"/>
      <c r="R26" s="39" t="n"/>
    </row>
    <row r="27" ht="28.5" customHeight="1">
      <c r="A27" s="67" t="inlineStr">
        <is>
          <t>Note:
注释：</t>
        </is>
      </c>
    </row>
    <row r="28" ht="28.5" customHeight="1">
      <c r="A28" s="68" t="inlineStr">
        <is>
          <t xml:space="preserve">The design of this procedure template assumes that the relevant considerations for the procedure will be appropriately documented on the workflow screen for the procedure, unless they are directly addressed within this procedure template.
本程序模板的设计基于以下假设：本程序的相关考虑事项将恰当记录于与本程序有关的工作流程工作屏中，除非它们已由本程序模板直接应对。 </t>
        </is>
      </c>
    </row>
    <row r="29" ht="28.5" customHeight="1"/>
    <row r="30">
      <c r="A30" s="68" t="inlineStr">
        <is>
          <t xml:space="preserve">The engagement team determines whether additional tick marks, other notations and/or additional information are relevant to document on this procedure template based on any custom steps that were added to the substantive procedure and/or the results obtained from performing the steps above.
项目组应根据自主添加的任何实质性程序步骤和/或通过执行这些步骤获取的结果，确定是否需在本程序模板中添加额外的标记、其他注释及/或其他信息。 </t>
        </is>
      </c>
    </row>
    <row r="986">
      <c r="A986" s="40" t="inlineStr">
        <is>
          <t>Yes 
是</t>
        </is>
      </c>
      <c r="O986" s="40" t="inlineStr">
        <is>
          <t>Current period
本期</t>
        </is>
      </c>
    </row>
    <row r="987">
      <c r="A987" s="40" t="inlineStr">
        <is>
          <t>No 
否</t>
        </is>
      </c>
      <c r="O987" s="40" t="inlineStr">
        <is>
          <t>Subsequent period
后续期间</t>
        </is>
      </c>
    </row>
    <row r="988">
      <c r="A988" s="40" t="inlineStr">
        <is>
          <t>N/A
不适用</t>
        </is>
      </c>
    </row>
  </sheetData>
  <mergeCells count="8">
    <mergeCell ref="A14:Q14"/>
    <mergeCell ref="B16:G16"/>
    <mergeCell ref="A30:R30"/>
    <mergeCell ref="H16:I16"/>
    <mergeCell ref="A28:Q28"/>
    <mergeCell ref="K16:M16"/>
    <mergeCell ref="O16:Q16"/>
    <mergeCell ref="A13:Q13"/>
  </mergeCells>
  <pageMargins left="0.25" right="0.18" top="0.7480314960629921" bottom="0.748031496062992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AA218"/>
  <sheetViews>
    <sheetView workbookViewId="0">
      <selection activeCell="A1" sqref="A1"/>
    </sheetView>
  </sheetViews>
  <sheetFormatPr baseColWidth="8" defaultColWidth="8.90625" defaultRowHeight="14.5"/>
  <cols>
    <col width="8.90625" customWidth="1" min="1" max="1"/>
    <col width="17.54296875" customWidth="1" min="25" max="25"/>
    <col width="10.81640625" customWidth="1" min="26" max="26"/>
    <col width="8.90625" customWidth="1" min="27" max="27"/>
  </cols>
  <sheetData>
    <row r="1">
      <c r="A1" s="69" t="inlineStr">
        <is>
          <t>1.2024年订单编号：11000437  成本中心：1100P00001</t>
        </is>
      </c>
    </row>
    <row r="10">
      <c r="Y10" s="70" t="inlineStr">
        <is>
          <t>期数库存交易数量</t>
        </is>
      </c>
      <c r="Z10" s="71" t="n">
        <v>30</v>
      </c>
    </row>
    <row r="11">
      <c r="Y11" s="70" t="inlineStr">
        <is>
          <t>期初价格差异</t>
        </is>
      </c>
      <c r="Z11" s="71" t="n">
        <v>-15066.9</v>
      </c>
    </row>
    <row r="12">
      <c r="Y12" s="70" t="inlineStr">
        <is>
          <t>收货库存交易数量</t>
        </is>
      </c>
      <c r="Z12" s="71" t="n">
        <v>0</v>
      </c>
    </row>
    <row r="13">
      <c r="Y13" s="70" t="inlineStr">
        <is>
          <t>收货价格差异</t>
        </is>
      </c>
      <c r="Z13" s="71" t="n">
        <v>0</v>
      </c>
    </row>
    <row r="14">
      <c r="Y14" s="70" t="inlineStr">
        <is>
          <t>消耗库存交易数量</t>
        </is>
      </c>
      <c r="Z14" s="71" t="n">
        <v>30</v>
      </c>
    </row>
    <row r="15">
      <c r="Y15" s="70" t="inlineStr">
        <is>
          <t>消耗价格差异</t>
        </is>
      </c>
      <c r="Z15" s="71" t="n">
        <v>-15066.9</v>
      </c>
    </row>
    <row r="49">
      <c r="A49" s="69" t="inlineStr">
        <is>
          <t>2.2024年订单编号：11000027  成本中心：1100P00002</t>
        </is>
      </c>
    </row>
    <row r="56">
      <c r="Y56" s="70" t="inlineStr">
        <is>
          <t>期数库存交易数量</t>
        </is>
      </c>
      <c r="Z56" s="71" t="n">
        <v>117</v>
      </c>
    </row>
    <row r="57">
      <c r="Y57" s="70" t="inlineStr">
        <is>
          <t>期初价格差异</t>
        </is>
      </c>
      <c r="Z57" s="71" t="n">
        <v>-589.6799999999999</v>
      </c>
      <c r="AA57" s="72" t="inlineStr">
        <is>
          <t>重新评估</t>
        </is>
      </c>
    </row>
    <row r="58">
      <c r="Y58" s="70" t="inlineStr">
        <is>
          <t>收货库存交易数量</t>
        </is>
      </c>
      <c r="Z58" s="71" t="n">
        <v>31</v>
      </c>
    </row>
    <row r="59">
      <c r="Y59" s="70" t="inlineStr">
        <is>
          <t>收货价格差异</t>
        </is>
      </c>
      <c r="Z59" s="71" t="n">
        <v>-158.72</v>
      </c>
    </row>
    <row r="60">
      <c r="Y60" s="70" t="inlineStr">
        <is>
          <t>消耗库存交易数量</t>
        </is>
      </c>
      <c r="Z60" s="71" t="n">
        <v>45</v>
      </c>
    </row>
    <row r="61">
      <c r="Y61" s="70" t="inlineStr">
        <is>
          <t>消耗价格差异</t>
        </is>
      </c>
      <c r="Z61" s="71" t="n">
        <v>-227.55</v>
      </c>
    </row>
    <row r="99">
      <c r="A99" s="69" t="inlineStr">
        <is>
          <t>3.2025年订单编号：11001846  成本中心：1100P00002</t>
        </is>
      </c>
    </row>
    <row r="117">
      <c r="Y117" s="70" t="inlineStr">
        <is>
          <t>期数库存交易数量</t>
        </is>
      </c>
      <c r="Z117" s="71" t="n">
        <v>22</v>
      </c>
    </row>
    <row r="118">
      <c r="Y118" s="70" t="inlineStr">
        <is>
          <t>期初价格差异</t>
        </is>
      </c>
      <c r="Z118" s="71" t="n">
        <v>1408</v>
      </c>
    </row>
    <row r="119">
      <c r="Y119" s="70" t="inlineStr">
        <is>
          <t>收货库存交易数量</t>
        </is>
      </c>
      <c r="Z119" s="71" t="n">
        <v>0</v>
      </c>
    </row>
    <row r="120">
      <c r="Y120" s="70" t="inlineStr">
        <is>
          <t>收货价格差异</t>
        </is>
      </c>
      <c r="Z120" s="71" t="n">
        <v>0</v>
      </c>
    </row>
    <row r="121">
      <c r="Y121" s="70" t="inlineStr">
        <is>
          <t>消耗库存交易数量</t>
        </is>
      </c>
      <c r="Z121" s="71" t="n">
        <v>2</v>
      </c>
    </row>
    <row r="122">
      <c r="Y122" s="70" t="inlineStr">
        <is>
          <t>消耗价格差异</t>
        </is>
      </c>
      <c r="Z122" s="71" t="n">
        <v>128</v>
      </c>
    </row>
    <row r="148">
      <c r="A148" s="69" t="inlineStr">
        <is>
          <t>4.2025年订单编号：11002963  成本中心：1100P00002</t>
        </is>
      </c>
    </row>
    <row r="167">
      <c r="Y167" s="70" t="inlineStr">
        <is>
          <t>期数库存交易数量</t>
        </is>
      </c>
      <c r="Z167" s="71" t="n">
        <v>32</v>
      </c>
    </row>
    <row r="168">
      <c r="Y168" s="70" t="inlineStr">
        <is>
          <t>期初价格差异</t>
        </is>
      </c>
      <c r="Z168" s="71" t="n">
        <v>-30343.32</v>
      </c>
    </row>
    <row r="169">
      <c r="Y169" s="70" t="inlineStr">
        <is>
          <t>收货库存交易数量</t>
        </is>
      </c>
      <c r="Z169" s="71" t="n">
        <v>3</v>
      </c>
    </row>
    <row r="170">
      <c r="Y170" s="70" t="inlineStr">
        <is>
          <t>收货价格差异</t>
        </is>
      </c>
      <c r="Z170" s="71" t="n">
        <v>800</v>
      </c>
    </row>
    <row r="171">
      <c r="Y171" s="70" t="inlineStr">
        <is>
          <t>消耗库存交易数量</t>
        </is>
      </c>
      <c r="Z171" s="71" t="n">
        <v>4</v>
      </c>
    </row>
    <row r="172">
      <c r="Y172" s="70" t="inlineStr">
        <is>
          <t>消耗价格差异</t>
        </is>
      </c>
      <c r="Z172" s="71" t="n">
        <v>-3376.38</v>
      </c>
    </row>
    <row r="197">
      <c r="A197" s="69" t="inlineStr">
        <is>
          <t>5.2025年订单编号：11004120  成本中心：1100P00001</t>
        </is>
      </c>
    </row>
    <row r="213">
      <c r="Y213" s="70" t="inlineStr">
        <is>
          <t>期数库存交易数量</t>
        </is>
      </c>
      <c r="Z213" s="71" t="n">
        <v>0</v>
      </c>
    </row>
    <row r="214">
      <c r="Y214" s="70" t="inlineStr">
        <is>
          <t>期初价格差异</t>
        </is>
      </c>
      <c r="Z214" s="71" t="n">
        <v>0</v>
      </c>
    </row>
    <row r="215">
      <c r="Y215" s="70" t="inlineStr">
        <is>
          <t>收货库存交易数量</t>
        </is>
      </c>
      <c r="Z215" s="71" t="n">
        <v>1</v>
      </c>
    </row>
    <row r="216">
      <c r="Y216" s="70" t="inlineStr">
        <is>
          <t>收货价格差异</t>
        </is>
      </c>
      <c r="Z216" s="71" t="n">
        <v>26986.29</v>
      </c>
    </row>
    <row r="217">
      <c r="Y217" s="70" t="inlineStr">
        <is>
          <t>消耗库存交易数量</t>
        </is>
      </c>
      <c r="Z217" s="71" t="n">
        <v>1</v>
      </c>
    </row>
    <row r="218">
      <c r="Y218" s="70" t="inlineStr">
        <is>
          <t>消耗价格差异</t>
        </is>
      </c>
      <c r="Z218" s="71" t="n">
        <v>26986.29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2026-06-23T13:56:43Z</dcterms:created>
  <dcterms:modified xmlns:dcterms="http://purl.org/dc/terms/" xmlns:xsi="http://www.w3.org/2001/XMLSchema-instance" xsi:type="dcterms:W3CDTF">2026-06-23T14:03:33Z</dcterms:modified>
</cp:coreProperties>
</file>