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D03012-IRM(SAP)" sheetId="1" state="visible" r:id="rId1"/>
    <sheet xmlns:r="http://schemas.openxmlformats.org/officeDocument/2006/relationships" name="SPD03014_IRM(SAP)" sheetId="2" state="visible" r:id="rId2"/>
    <sheet xmlns:r="http://schemas.openxmlformats.org/officeDocument/2006/relationships" name="SPD03015_IRM(SAP)" sheetId="3" state="visible" r:id="rId3"/>
    <sheet xmlns:r="http://schemas.openxmlformats.org/officeDocument/2006/relationships" name="CKM3" sheetId="4" state="visible" r:id="rId4"/>
  </sheets>
  <definedNames/>
  <calcPr calcId="124519" fullCalcOnLoad="1"/>
</workbook>
</file>

<file path=xl/styles.xml><?xml version="1.0" encoding="utf-8"?>
<styleSheet xmlns="http://schemas.openxmlformats.org/spreadsheetml/2006/main">
  <numFmts count="5">
    <numFmt numFmtId="164" formatCode="_(* #,##0_);_(* \(#,##0\);_(* &quot;-&quot;??_);_(@_)"/>
    <numFmt numFmtId="165" formatCode="_-* #,##0.00_-;\-* #,##0.00_-;_-* &quot;-&quot;??_-;_-@_-"/>
    <numFmt numFmtId="166" formatCode="_-* #,##0_-;\-* #,##0_-;_-* &quot;-&quot;??_-;_-@_-"/>
    <numFmt numFmtId="167" formatCode="yyyy-mm-dd h:mm:ss"/>
    <numFmt numFmtId="168" formatCode="_(* #,##0.0_);_(* \(#,##0.0\);_(* &quot;-&quot;??_);_(@_)"/>
  </numFmts>
  <fonts count="37">
    <font>
      <name val="Calibri"/>
      <family val="2"/>
      <color theme="1"/>
      <sz val="11"/>
      <scheme val="minor"/>
    </font>
    <font>
      <name val="Arial"/>
      <family val="2"/>
      <sz val="10"/>
    </font>
    <font>
      <name val="KPMG Light"/>
      <family val="2"/>
      <color theme="0"/>
      <sz val="36"/>
    </font>
    <font>
      <name val="Arial"/>
      <charset val="134"/>
      <family val="2"/>
      <color theme="1"/>
      <sz val="10"/>
    </font>
    <font>
      <name val="Arial"/>
      <family val="2"/>
      <color theme="0"/>
      <sz val="10"/>
    </font>
    <font>
      <name val="Arial"/>
      <family val="2"/>
      <i val="1"/>
      <sz val="11"/>
    </font>
    <font>
      <name val="Microsoft YaHei UI"/>
      <charset val="134"/>
      <family val="2"/>
      <b val="1"/>
      <color theme="1"/>
      <sz val="10"/>
    </font>
    <font>
      <name val="Arial"/>
      <family val="2"/>
      <b val="1"/>
      <color theme="1"/>
      <sz val="10"/>
    </font>
    <font>
      <name val="Arial"/>
      <family val="2"/>
      <color theme="1"/>
      <sz val="10"/>
    </font>
    <font>
      <name val="Arial"/>
      <family val="2"/>
      <b val="1"/>
      <i val="1"/>
      <color theme="1"/>
      <sz val="10"/>
    </font>
    <font>
      <name val="Arial"/>
      <family val="2"/>
      <b val="1"/>
      <color theme="1"/>
      <sz val="11"/>
    </font>
    <font>
      <name val="Arial"/>
      <family val="2"/>
      <b val="1"/>
      <color rgb="FF7030A0"/>
      <sz val="10"/>
    </font>
    <font>
      <name val="Arial"/>
      <family val="2"/>
      <b val="1"/>
      <color theme="0"/>
      <sz val="11"/>
    </font>
    <font>
      <name val="Arial"/>
      <family val="2"/>
      <b val="1"/>
      <color theme="0"/>
      <sz val="10"/>
    </font>
    <font>
      <name val="Arial"/>
      <family val="2"/>
      <sz val="11"/>
    </font>
    <font>
      <name val="微软雅黑"/>
      <charset val="134"/>
      <family val="2"/>
      <b val="1"/>
      <color theme="0"/>
      <sz val="11"/>
    </font>
    <font>
      <name val="Microsoft YaHei UI"/>
      <charset val="134"/>
      <family val="2"/>
      <b val="1"/>
      <color theme="0"/>
      <sz val="10"/>
    </font>
    <font>
      <name val="Arial"/>
      <family val="2"/>
      <b val="1"/>
      <sz val="11"/>
    </font>
    <font>
      <name val="Arial"/>
      <family val="2"/>
      <b val="1"/>
      <color theme="7" tint="-0.249977111117893"/>
      <sz val="11"/>
    </font>
    <font>
      <name val="Calibri"/>
      <charset val="134"/>
      <color theme="1"/>
      <sz val="11"/>
      <scheme val="minor"/>
    </font>
    <font>
      <name val="Calibri"/>
      <family val="2"/>
      <b val="1"/>
      <color theme="1"/>
      <sz val="11"/>
      <scheme val="minor"/>
    </font>
    <font>
      <name val="Microsoft YaHei UI"/>
      <charset val="134"/>
      <family val="2"/>
      <color theme="0"/>
      <sz val="10"/>
    </font>
    <font>
      <name val="Microsoft YaHei UI"/>
      <charset val="134"/>
      <family val="2"/>
      <color theme="1"/>
      <sz val="10"/>
    </font>
    <font>
      <name val="Arial"/>
      <family val="2"/>
      <b val="1"/>
      <i val="1"/>
      <color rgb="FF7030A0"/>
      <sz val="10"/>
    </font>
    <font>
      <name val="Arial"/>
      <family val="2"/>
      <color theme="1"/>
      <sz val="11"/>
    </font>
    <font>
      <name val="Calibri"/>
      <family val="2"/>
      <b val="1"/>
      <color theme="1"/>
      <sz val="10"/>
      <scheme val="minor"/>
    </font>
    <font>
      <name val="Arial"/>
      <family val="2"/>
      <b val="1"/>
      <color rgb="FF000000"/>
      <sz val="10"/>
      <u val="single"/>
    </font>
    <font>
      <name val="Arial"/>
      <family val="2"/>
      <color rgb="FF000000"/>
      <sz val="10"/>
    </font>
    <font>
      <name val="Microsoft YaHei UI"/>
      <family val="2"/>
      <b val="1"/>
      <color theme="0"/>
      <sz val="10"/>
    </font>
    <font>
      <name val="Arial"/>
      <charset val="134"/>
      <family val="2"/>
      <b val="1"/>
      <color rgb="FFFF0000"/>
      <sz val="10"/>
    </font>
    <font>
      <name val="Arial"/>
      <charset val="134"/>
      <family val="2"/>
      <color rgb="FFFF0000"/>
      <sz val="10"/>
    </font>
    <font>
      <name val="微软雅黑"/>
      <charset val="134"/>
      <family val="2"/>
      <b val="1"/>
      <color theme="0"/>
      <sz val="10"/>
    </font>
    <font>
      <name val="Arial"/>
      <family val="2"/>
      <color theme="0"/>
      <sz val="11"/>
    </font>
    <font>
      <name val="Arial"/>
      <family val="2"/>
      <color theme="7" tint="-0.249977111117893"/>
      <sz val="11"/>
    </font>
    <font>
      <name val="微软雅黑"/>
      <charset val="134"/>
      <family val="2"/>
      <color theme="1"/>
      <sz val="10"/>
    </font>
    <font>
      <name val="微软雅黑"/>
      <charset val="134"/>
      <family val="2"/>
      <sz val="10"/>
    </font>
    <font>
      <name val="Arial"/>
      <family val="2"/>
      <b val="1"/>
      <color theme="4" tint="-0.249977111117893"/>
      <sz val="10"/>
    </font>
  </fonts>
  <fills count="10">
    <fill>
      <patternFill/>
    </fill>
    <fill>
      <patternFill patternType="gray125"/>
    </fill>
    <fill>
      <patternFill patternType="solid">
        <fgColor rgb="FF00338D"/>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theme="0" tint="-0.249977111117893"/>
        <bgColor indexed="64"/>
      </patternFill>
    </fill>
    <fill>
      <patternFill patternType="solid">
        <fgColor rgb="0000338D"/>
      </patternFill>
    </fill>
    <fill>
      <patternFill patternType="solid">
        <fgColor rgb="FF00338D"/>
      </patternFill>
    </fill>
    <fill>
      <patternFill patternType="solid">
        <fgColor rgb="FFFF000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s>
  <cellStyleXfs count="1">
    <xf numFmtId="0" fontId="0" fillId="0" borderId="0"/>
  </cellStyleXfs>
  <cellXfs count="226">
    <xf numFmtId="0" fontId="0" fillId="0" borderId="0" pivotButton="0" quotePrefix="0" xfId="0"/>
    <xf numFmtId="0" fontId="1" fillId="2" borderId="0" pivotButton="0" quotePrefix="0" xfId="0"/>
    <xf numFmtId="43" fontId="1" fillId="2" borderId="0" pivotButton="0" quotePrefix="0" xfId="0"/>
    <xf numFmtId="0" fontId="1" fillId="2" borderId="0" applyAlignment="1" pivotButton="0" quotePrefix="0" xfId="0">
      <alignment wrapText="1"/>
    </xf>
    <xf numFmtId="0" fontId="2" fillId="2" borderId="0" pivotButton="0" quotePrefix="0" xfId="0"/>
    <xf numFmtId="0" fontId="3" fillId="2" borderId="0" applyAlignment="1" pivotButton="0" quotePrefix="0" xfId="0">
      <alignment wrapText="1"/>
    </xf>
    <xf numFmtId="0" fontId="3" fillId="2" borderId="0" pivotButton="0" quotePrefix="0" xfId="0"/>
    <xf numFmtId="43" fontId="3" fillId="2" borderId="0" pivotButton="0" quotePrefix="0" xfId="0"/>
    <xf numFmtId="0" fontId="4" fillId="2" borderId="0" applyAlignment="1" pivotButton="0" quotePrefix="0" xfId="0">
      <alignment vertical="top"/>
    </xf>
    <xf numFmtId="43" fontId="4" fillId="2" borderId="0" applyAlignment="1" pivotButton="0" quotePrefix="0" xfId="0">
      <alignment vertical="top"/>
    </xf>
    <xf numFmtId="0" fontId="5" fillId="3" borderId="0" applyAlignment="1" pivotButton="0" quotePrefix="0" xfId="0">
      <alignment vertical="top" wrapText="1"/>
    </xf>
    <xf numFmtId="43" fontId="5" fillId="3" borderId="0" applyAlignment="1" pivotButton="0" quotePrefix="0" xfId="0">
      <alignment vertical="top" wrapText="1"/>
    </xf>
    <xf numFmtId="0" fontId="6" fillId="0" borderId="0" pivotButton="0" quotePrefix="0" xfId="0"/>
    <xf numFmtId="0" fontId="7" fillId="0" borderId="1" applyAlignment="1" pivotButton="0" quotePrefix="0" xfId="0">
      <alignment horizontal="center"/>
    </xf>
    <xf numFmtId="0" fontId="6" fillId="3" borderId="0" applyAlignment="1" pivotButton="0" quotePrefix="0" xfId="0">
      <alignment horizontal="center"/>
    </xf>
    <xf numFmtId="43" fontId="6" fillId="3" borderId="0" applyAlignment="1" pivotButton="0" quotePrefix="0" xfId="0">
      <alignment horizontal="center"/>
    </xf>
    <xf numFmtId="0" fontId="1" fillId="3" borderId="0" pivotButton="0" quotePrefix="0" xfId="0"/>
    <xf numFmtId="0" fontId="7" fillId="4" borderId="1" applyAlignment="1" pivotButton="0" quotePrefix="0" xfId="0">
      <alignment horizontal="center" vertical="center" wrapText="1"/>
    </xf>
    <xf numFmtId="0" fontId="7" fillId="3" borderId="0" applyAlignment="1" pivotButton="0" quotePrefix="0" xfId="0">
      <alignment horizontal="center" vertical="center" wrapText="1"/>
    </xf>
    <xf numFmtId="43" fontId="7" fillId="3" borderId="0" applyAlignment="1" pivotButton="0" quotePrefix="0" xfId="0">
      <alignment horizontal="center" vertical="center" wrapText="1"/>
    </xf>
    <xf numFmtId="0" fontId="8" fillId="3" borderId="0" pivotButton="0" quotePrefix="0" xfId="0"/>
    <xf numFmtId="0" fontId="9" fillId="3" borderId="0" pivotButton="0" quotePrefix="0" xfId="0"/>
    <xf numFmtId="0" fontId="7" fillId="4" borderId="1" applyAlignment="1" pivotButton="0" quotePrefix="0" xfId="0">
      <alignment horizontal="center" vertical="center"/>
    </xf>
    <xf numFmtId="43" fontId="7" fillId="3" borderId="0" applyAlignment="1" pivotButton="0" quotePrefix="0" xfId="0">
      <alignment horizontal="center" vertical="center"/>
    </xf>
    <xf numFmtId="0" fontId="7" fillId="3" borderId="0" applyAlignment="1" pivotButton="0" quotePrefix="0" xfId="0">
      <alignment horizontal="center" vertical="center"/>
    </xf>
    <xf numFmtId="9" fontId="10" fillId="3" borderId="0" applyAlignment="1" pivotButton="0" quotePrefix="0" xfId="0">
      <alignment horizontal="center"/>
    </xf>
    <xf numFmtId="0" fontId="7" fillId="3" borderId="0" pivotButton="0" quotePrefix="0" xfId="0"/>
    <xf numFmtId="43" fontId="7" fillId="3" borderId="0" pivotButton="0" quotePrefix="0" xfId="0"/>
    <xf numFmtId="0" fontId="7" fillId="4" borderId="1" applyAlignment="1" pivotButton="0" quotePrefix="0" xfId="0">
      <alignment horizontal="center"/>
    </xf>
    <xf numFmtId="0" fontId="7" fillId="3" borderId="0" applyAlignment="1" pivotButton="0" quotePrefix="0" xfId="0">
      <alignment horizontal="center"/>
    </xf>
    <xf numFmtId="43" fontId="7" fillId="3" borderId="0" applyAlignment="1" pivotButton="0" quotePrefix="0" xfId="0">
      <alignment horizontal="center"/>
    </xf>
    <xf numFmtId="14" fontId="7" fillId="3" borderId="0" applyAlignment="1" pivotButton="0" quotePrefix="0" xfId="0">
      <alignment horizontal="center"/>
    </xf>
    <xf numFmtId="0" fontId="11" fillId="3" borderId="0" applyAlignment="1" pivotButton="0" quotePrefix="0" xfId="0">
      <alignment horizontal="left" vertical="top" wrapText="1"/>
    </xf>
    <xf numFmtId="0" fontId="12" fillId="2" borderId="2" applyAlignment="1" pivotButton="0" quotePrefix="0" xfId="0">
      <alignment horizontal="center" vertical="center" wrapText="1"/>
    </xf>
    <xf numFmtId="0" fontId="12" fillId="2" borderId="3" applyAlignment="1" pivotButton="0" quotePrefix="0" xfId="0">
      <alignment horizontal="center" vertical="center" wrapText="1"/>
    </xf>
    <xf numFmtId="43" fontId="13" fillId="2" borderId="3" applyAlignment="1" pivotButton="0" quotePrefix="0" xfId="0">
      <alignment horizontal="center" vertical="center" wrapText="1"/>
    </xf>
    <xf numFmtId="43" fontId="12" fillId="2" borderId="2" applyAlignment="1" pivotButton="0" quotePrefix="0" xfId="0">
      <alignment horizontal="center" vertical="center" wrapText="1"/>
    </xf>
    <xf numFmtId="43" fontId="12" fillId="2" borderId="4" applyAlignment="1" pivotButton="0" quotePrefix="0" xfId="0">
      <alignment vertical="center" wrapText="1"/>
    </xf>
    <xf numFmtId="3" fontId="13" fillId="2" borderId="3" applyAlignment="1" pivotButton="0" quotePrefix="0" xfId="0">
      <alignment horizontal="center" vertical="top" wrapText="1"/>
    </xf>
    <xf numFmtId="43" fontId="14" fillId="3" borderId="0" pivotButton="0" quotePrefix="0" xfId="0"/>
    <xf numFmtId="0" fontId="14" fillId="3" borderId="0" pivotButton="0" quotePrefix="0" xfId="0"/>
    <xf numFmtId="0" fontId="12" fillId="2" borderId="5" applyAlignment="1" pivotButton="0" quotePrefix="0" xfId="0">
      <alignment horizontal="center" vertical="center" wrapText="1"/>
    </xf>
    <xf numFmtId="0" fontId="15" fillId="2" borderId="5" applyAlignment="1" pivotButton="0" quotePrefix="0" xfId="0">
      <alignment horizontal="center" vertical="center" wrapText="1"/>
    </xf>
    <xf numFmtId="43" fontId="13" fillId="2" borderId="6" applyAlignment="1" pivotButton="0" quotePrefix="0" xfId="0">
      <alignment horizontal="center" vertical="center" wrapText="1"/>
    </xf>
    <xf numFmtId="43" fontId="13" fillId="2" borderId="7" applyAlignment="1" pivotButton="0" quotePrefix="0" xfId="0">
      <alignment horizontal="center" vertical="center" wrapText="1"/>
    </xf>
    <xf numFmtId="43" fontId="12" fillId="2" borderId="5" applyAlignment="1" pivotButton="0" quotePrefix="0" xfId="0">
      <alignment horizontal="center" vertical="center" wrapText="1"/>
    </xf>
    <xf numFmtId="43" fontId="15" fillId="2" borderId="5" applyAlignment="1" pivotButton="0" quotePrefix="0" xfId="0">
      <alignment horizontal="center" vertical="center" wrapText="1"/>
    </xf>
    <xf numFmtId="43" fontId="15" fillId="2" borderId="8" applyAlignment="1" pivotButton="0" quotePrefix="0" xfId="0">
      <alignment horizontal="center" vertical="center" wrapText="1"/>
    </xf>
    <xf numFmtId="43" fontId="16" fillId="2" borderId="8" applyAlignment="1" pivotButton="0" quotePrefix="0" xfId="0">
      <alignment horizontal="center" vertical="center" wrapText="1"/>
    </xf>
    <xf numFmtId="0" fontId="12" fillId="2" borderId="6" applyAlignment="1" pivotButton="0" quotePrefix="0" xfId="0">
      <alignment horizontal="center" vertical="top" wrapText="1"/>
    </xf>
    <xf numFmtId="43" fontId="12" fillId="2" borderId="9" applyAlignment="1" pivotButton="0" quotePrefix="0" xfId="0">
      <alignment horizontal="center" vertical="center" wrapText="1"/>
    </xf>
    <xf numFmtId="43" fontId="12" fillId="2" borderId="10" applyAlignment="1" pivotButton="0" quotePrefix="0" xfId="0">
      <alignment horizontal="center" vertical="center" wrapText="1"/>
    </xf>
    <xf numFmtId="0" fontId="17" fillId="3" borderId="0" pivotButton="0" quotePrefix="0" xfId="0"/>
    <xf numFmtId="0" fontId="12"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1" fillId="0" borderId="1" applyAlignment="1" pivotButton="0" quotePrefix="0" xfId="0">
      <alignment horizontal="center" vertical="center" wrapText="1"/>
    </xf>
    <xf numFmtId="43" fontId="12" fillId="3" borderId="1" applyAlignment="1" pivotButton="0" quotePrefix="0" xfId="0">
      <alignment horizontal="center" vertical="center" wrapText="1"/>
    </xf>
    <xf numFmtId="0"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right" vertical="center" wrapText="1"/>
      <protection locked="0" hidden="0"/>
    </xf>
    <xf numFmtId="43"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left" vertical="center" wrapText="1"/>
      <protection locked="0" hidden="0"/>
    </xf>
    <xf numFmtId="0" fontId="14" fillId="4" borderId="1" applyAlignment="1" applyProtection="1" pivotButton="0" quotePrefix="0" xfId="0">
      <alignment vertical="center" wrapText="1"/>
      <protection locked="0" hidden="0"/>
    </xf>
    <xf numFmtId="43" fontId="14" fillId="5" borderId="1" applyAlignment="1" applyProtection="1" pivotButton="0" quotePrefix="0" xfId="0">
      <alignment horizontal="left" vertical="center" wrapText="1"/>
      <protection locked="0" hidden="0"/>
    </xf>
    <xf numFmtId="43" fontId="14" fillId="6" borderId="1" applyAlignment="1" applyProtection="1" pivotButton="0" quotePrefix="0" xfId="0">
      <alignment horizontal="center" vertical="center" wrapText="1"/>
      <protection locked="0" hidden="0"/>
    </xf>
    <xf numFmtId="164" fontId="14" fillId="3" borderId="1" applyAlignment="1" applyProtection="1" pivotButton="0" quotePrefix="0" xfId="0">
      <alignment horizontal="center" vertical="top" wrapText="1"/>
      <protection locked="0" hidden="0"/>
    </xf>
    <xf numFmtId="0" fontId="14" fillId="3" borderId="0" applyAlignment="1" pivotButton="0" quotePrefix="0" xfId="0">
      <alignment vertical="top" wrapText="1"/>
    </xf>
    <xf numFmtId="1" fontId="14" fillId="4" borderId="1" applyAlignment="1" applyProtection="1" pivotButton="0" quotePrefix="0" xfId="0">
      <alignment horizontal="center" vertical="center" wrapText="1"/>
      <protection locked="0" hidden="0"/>
    </xf>
    <xf numFmtId="0" fontId="7" fillId="3" borderId="0" applyAlignment="1" pivotButton="0" quotePrefix="0" xfId="0">
      <alignment wrapText="1"/>
    </xf>
    <xf numFmtId="0" fontId="8" fillId="3" borderId="0" applyAlignment="1" pivotButton="0" quotePrefix="0" xfId="0">
      <alignment horizontal="left" wrapText="1"/>
    </xf>
    <xf numFmtId="0" fontId="19" fillId="4" borderId="0" applyAlignment="1" pivotButton="0" quotePrefix="0" xfId="0">
      <alignment vertical="center"/>
    </xf>
    <xf numFmtId="0" fontId="3" fillId="0" borderId="1" pivotButton="0" quotePrefix="0" xfId="0"/>
    <xf numFmtId="43" fontId="3" fillId="0" borderId="1" pivotButton="0" quotePrefix="0" xfId="0"/>
    <xf numFmtId="0" fontId="0" fillId="0" borderId="0" applyAlignment="1" pivotButton="0" quotePrefix="0" xfId="0">
      <alignment vertical="center"/>
    </xf>
    <xf numFmtId="0" fontId="2" fillId="7" borderId="0" pivotButton="0" quotePrefix="0" xfId="0"/>
    <xf numFmtId="0" fontId="3" fillId="7" borderId="0" applyAlignment="1" pivotButton="0" quotePrefix="0" xfId="0">
      <alignment wrapText="1"/>
    </xf>
    <xf numFmtId="0" fontId="3" fillId="7" borderId="0" pivotButton="0" quotePrefix="0" xfId="0"/>
    <xf numFmtId="43" fontId="3" fillId="7" borderId="0" pivotButton="0" quotePrefix="0" xfId="0"/>
    <xf numFmtId="0" fontId="0" fillId="7" borderId="0" pivotButton="0" quotePrefix="0" xfId="0"/>
    <xf numFmtId="0" fontId="1" fillId="7" borderId="0" pivotButton="0" quotePrefix="0" xfId="0"/>
    <xf numFmtId="0" fontId="4" fillId="7" borderId="0" applyAlignment="1" pivotButton="0" quotePrefix="0" xfId="0">
      <alignment vertical="top"/>
    </xf>
    <xf numFmtId="43" fontId="4" fillId="7" borderId="0" applyAlignment="1" pivotButton="0" quotePrefix="0" xfId="0">
      <alignment vertical="top"/>
    </xf>
    <xf numFmtId="0" fontId="1" fillId="7" borderId="0" applyAlignment="1" pivotButton="0" quotePrefix="0" xfId="0">
      <alignment wrapText="1"/>
    </xf>
    <xf numFmtId="0" fontId="0" fillId="0" borderId="13" pivotButton="0" quotePrefix="0" xfId="0"/>
    <xf numFmtId="0" fontId="0" fillId="0" borderId="4" pivotButton="0" quotePrefix="0" xfId="0"/>
    <xf numFmtId="0" fontId="2" fillId="8" borderId="0" pivotButton="0" quotePrefix="0" xfId="0"/>
    <xf numFmtId="0" fontId="3" fillId="8" borderId="0" applyAlignment="1" pivotButton="0" quotePrefix="0" xfId="0">
      <alignment wrapText="1"/>
    </xf>
    <xf numFmtId="0" fontId="3" fillId="8" borderId="0" pivotButton="0" quotePrefix="0" xfId="0"/>
    <xf numFmtId="43" fontId="3" fillId="8" borderId="0" pivotButton="0" quotePrefix="0" xfId="0"/>
    <xf numFmtId="0" fontId="0" fillId="8" borderId="0" pivotButton="0" quotePrefix="0" xfId="0"/>
    <xf numFmtId="0" fontId="1" fillId="8" borderId="0" pivotButton="0" quotePrefix="0" xfId="0"/>
    <xf numFmtId="0" fontId="4" fillId="8" borderId="0" applyAlignment="1" pivotButton="0" quotePrefix="0" xfId="0">
      <alignment vertical="top"/>
    </xf>
    <xf numFmtId="43" fontId="4" fillId="8" borderId="0" applyAlignment="1" pivotButton="0" quotePrefix="0" xfId="0">
      <alignment vertical="top"/>
    </xf>
    <xf numFmtId="0" fontId="1" fillId="8" borderId="0" applyAlignment="1" pivotButton="0" quotePrefix="0" xfId="0">
      <alignment wrapText="1"/>
    </xf>
    <xf numFmtId="0" fontId="20" fillId="2" borderId="0" pivotButton="0" quotePrefix="0" xfId="0"/>
    <xf numFmtId="0" fontId="0" fillId="2" borderId="0" applyAlignment="1" pivotButton="0" quotePrefix="0" xfId="0">
      <alignment horizontal="left"/>
    </xf>
    <xf numFmtId="165" fontId="3" fillId="2" borderId="0" pivotButton="0" quotePrefix="0" xfId="0"/>
    <xf numFmtId="0" fontId="21" fillId="2" borderId="0" applyAlignment="1" pivotButton="0" quotePrefix="0" xfId="0">
      <alignment vertical="top"/>
    </xf>
    <xf numFmtId="0" fontId="22" fillId="2" borderId="0" applyAlignment="1" pivotButton="0" quotePrefix="0" xfId="0">
      <alignment horizontal="left"/>
    </xf>
    <xf numFmtId="165" fontId="22" fillId="2" borderId="0" pivotButton="0" quotePrefix="0" xfId="0"/>
    <xf numFmtId="0" fontId="21" fillId="2" borderId="0" applyAlignment="1" pivotButton="0" quotePrefix="0" xfId="0">
      <alignment horizontal="left" vertical="top" wrapText="1"/>
    </xf>
    <xf numFmtId="0" fontId="4" fillId="0" borderId="0" applyAlignment="1" pivotButton="0" quotePrefix="0" xfId="0">
      <alignment vertical="top"/>
    </xf>
    <xf numFmtId="0" fontId="0" fillId="0" borderId="0" applyAlignment="1" pivotButton="0" quotePrefix="0" xfId="0">
      <alignment horizontal="left"/>
    </xf>
    <xf numFmtId="165" fontId="3" fillId="0" borderId="0" pivotButton="0" quotePrefix="0" xfId="0"/>
    <xf numFmtId="0" fontId="4" fillId="0" borderId="0" applyAlignment="1" pivotButton="0" quotePrefix="0" xfId="0">
      <alignment horizontal="left" vertical="center" wrapText="1"/>
    </xf>
    <xf numFmtId="0" fontId="23" fillId="0" borderId="0" pivotButton="0" quotePrefix="0" xfId="0"/>
    <xf numFmtId="165" fontId="4" fillId="0" borderId="0" applyAlignment="1" pivotButton="0" quotePrefix="0" xfId="0">
      <alignment horizontal="left" vertical="center" wrapText="1"/>
    </xf>
    <xf numFmtId="0" fontId="4" fillId="0" borderId="0" applyAlignment="1" pivotButton="0" quotePrefix="0" xfId="0">
      <alignment vertical="top" wrapText="1"/>
    </xf>
    <xf numFmtId="0" fontId="24" fillId="0" borderId="0" applyAlignment="1" pivotButton="0" quotePrefix="0" xfId="0">
      <alignment wrapText="1"/>
    </xf>
    <xf numFmtId="0" fontId="24" fillId="0" borderId="0" pivotButton="0" quotePrefix="0" xfId="0"/>
    <xf numFmtId="0" fontId="24" fillId="0" borderId="0" applyAlignment="1" pivotButton="0" quotePrefix="0" xfId="0">
      <alignment horizontal="left"/>
    </xf>
    <xf numFmtId="165" fontId="24" fillId="0" borderId="0" pivotButton="0" quotePrefix="0" xfId="0"/>
    <xf numFmtId="0" fontId="6" fillId="0" borderId="0" applyAlignment="1" pivotButton="0" quotePrefix="0" xfId="0">
      <alignment wrapText="1"/>
    </xf>
    <xf numFmtId="0" fontId="25" fillId="0" borderId="1" applyAlignment="1" pivotButton="0" quotePrefix="0" xfId="0">
      <alignment horizontal="center"/>
    </xf>
    <xf numFmtId="0" fontId="25" fillId="0" borderId="0" applyAlignment="1" pivotButton="0" quotePrefix="0" xfId="0">
      <alignment horizontal="center"/>
    </xf>
    <xf numFmtId="0" fontId="26" fillId="0" borderId="0" pivotButton="0" quotePrefix="0" xfId="0"/>
    <xf numFmtId="0" fontId="8" fillId="9" borderId="0" applyAlignment="1" pivotButton="0" quotePrefix="0" xfId="0">
      <alignment horizontal="center" vertical="center" wrapText="1"/>
    </xf>
    <xf numFmtId="0" fontId="22" fillId="0" borderId="0" pivotButton="0" quotePrefix="0" xfId="0"/>
    <xf numFmtId="0" fontId="25" fillId="4" borderId="1" applyAlignment="1" pivotButton="0" quotePrefix="0" xfId="0">
      <alignment horizontal="center"/>
    </xf>
    <xf numFmtId="0" fontId="27" fillId="0" borderId="0" pivotButton="0" quotePrefix="0" xfId="0"/>
    <xf numFmtId="0" fontId="22" fillId="0" borderId="0" applyAlignment="1" pivotButton="0" quotePrefix="0" xfId="0">
      <alignment vertical="center" wrapText="1"/>
    </xf>
    <xf numFmtId="0" fontId="6" fillId="4" borderId="1" applyAlignment="1" pivotButton="0" quotePrefix="0" xfId="0">
      <alignment horizontal="center" vertical="center"/>
    </xf>
    <xf numFmtId="0" fontId="6" fillId="0" borderId="0" applyAlignment="1" pivotButton="0" quotePrefix="0" xfId="0">
      <alignment horizontal="center" vertical="center"/>
    </xf>
    <xf numFmtId="15" fontId="25" fillId="4" borderId="1" applyAlignment="1" pivotButton="0" quotePrefix="0" xfId="0">
      <alignment horizontal="center"/>
    </xf>
    <xf numFmtId="15" fontId="25" fillId="0" borderId="0" applyAlignment="1" pivotButton="0" quotePrefix="0" xfId="0">
      <alignment horizontal="center"/>
    </xf>
    <xf numFmtId="14" fontId="7" fillId="0" borderId="0" applyAlignment="1" pivotButton="0" quotePrefix="0" xfId="0">
      <alignment horizontal="left"/>
    </xf>
    <xf numFmtId="14" fontId="7" fillId="0" borderId="0" applyAlignment="1" pivotButton="0" quotePrefix="0" xfId="0">
      <alignment horizontal="center"/>
    </xf>
    <xf numFmtId="0" fontId="7" fillId="0" borderId="0" applyAlignment="1" pivotButton="0" quotePrefix="0" xfId="0">
      <alignment horizontal="center"/>
    </xf>
    <xf numFmtId="0" fontId="23" fillId="0" borderId="0" applyAlignment="1" pivotButton="0" quotePrefix="0" xfId="0">
      <alignment vertical="top"/>
    </xf>
    <xf numFmtId="0" fontId="8" fillId="0" borderId="0" applyAlignment="1" pivotButton="0" quotePrefix="0" xfId="0">
      <alignment horizontal="left"/>
    </xf>
    <xf numFmtId="165" fontId="8" fillId="0" borderId="0" applyAlignment="1" pivotButton="0" quotePrefix="0" xfId="0">
      <alignment horizontal="left"/>
    </xf>
    <xf numFmtId="0" fontId="8" fillId="0" borderId="0" applyAlignment="1" pivotButton="0" quotePrefix="0" xfId="0">
      <alignment horizontal="left" wrapText="1"/>
    </xf>
    <xf numFmtId="3" fontId="8" fillId="0" borderId="0" pivotButton="0" quotePrefix="0" xfId="0"/>
    <xf numFmtId="0" fontId="17" fillId="0" borderId="0" applyAlignment="1" pivotButton="0" quotePrefix="0" xfId="0">
      <alignment vertical="top"/>
    </xf>
    <xf numFmtId="165" fontId="8" fillId="0" borderId="0" pivotButton="0" quotePrefix="0" xfId="0"/>
    <xf numFmtId="0" fontId="13" fillId="2" borderId="1" applyAlignment="1" pivotButton="0" quotePrefix="0" xfId="0">
      <alignment horizontal="center" vertical="center" wrapText="1"/>
    </xf>
    <xf numFmtId="0" fontId="13" fillId="2" borderId="1" applyAlignment="1" pivotButton="0" quotePrefix="0" xfId="0">
      <alignment horizontal="center" wrapText="1"/>
    </xf>
    <xf numFmtId="0" fontId="13" fillId="2" borderId="1" applyAlignment="1" pivotButton="0" quotePrefix="0" xfId="0">
      <alignment horizontal="left" vertical="center" wrapText="1"/>
    </xf>
    <xf numFmtId="49" fontId="13" fillId="2" borderId="1" applyAlignment="1" pivotButton="0" quotePrefix="0" xfId="0">
      <alignment horizontal="left" vertical="center" wrapText="1"/>
    </xf>
    <xf numFmtId="165" fontId="13" fillId="2" borderId="1" applyAlignment="1" pivotButton="0" quotePrefix="0" xfId="0">
      <alignment horizontal="center" vertical="center" wrapText="1"/>
    </xf>
    <xf numFmtId="165" fontId="13" fillId="2" borderId="1" applyAlignment="1" pivotButton="0" quotePrefix="0" xfId="0">
      <alignment horizontal="center" wrapText="1"/>
    </xf>
    <xf numFmtId="165" fontId="13" fillId="2" borderId="1" applyAlignment="1" pivotButton="0" quotePrefix="0" xfId="0">
      <alignment horizontal="center" vertical="top" wrapText="1"/>
    </xf>
    <xf numFmtId="0" fontId="16" fillId="2" borderId="1" applyAlignment="1" pivotButton="0" quotePrefix="0" xfId="0">
      <alignment horizontal="center" vertical="center" wrapText="1"/>
    </xf>
    <xf numFmtId="0" fontId="28" fillId="2" borderId="1" applyAlignment="1" pivotButton="0" quotePrefix="0" xfId="0">
      <alignment horizontal="center" vertical="center" wrapText="1"/>
    </xf>
    <xf numFmtId="0" fontId="13" fillId="2" borderId="14" applyAlignment="1" pivotButton="0" quotePrefix="0" xfId="0">
      <alignment horizontal="center" vertical="center" wrapText="1"/>
    </xf>
    <xf numFmtId="0" fontId="7" fillId="0" borderId="0" applyAlignment="1" pivotButton="0" quotePrefix="0" xfId="0">
      <alignment horizontal="left" wrapText="1"/>
    </xf>
    <xf numFmtId="0" fontId="11" fillId="0" borderId="15" applyAlignment="1" pivotButton="0" quotePrefix="0" xfId="0">
      <alignment horizontal="center" vertical="center"/>
    </xf>
    <xf numFmtId="0" fontId="13" fillId="0" borderId="15" applyAlignment="1" pivotButton="0" quotePrefix="0" xfId="0">
      <alignment horizontal="left" vertical="center" wrapText="1"/>
    </xf>
    <xf numFmtId="49" fontId="13" fillId="0" borderId="15" applyAlignment="1" pivotButton="0" quotePrefix="0" xfId="0">
      <alignment horizontal="left" vertical="center" wrapText="1"/>
    </xf>
    <xf numFmtId="0" fontId="13" fillId="0" borderId="15" applyAlignment="1" pivotButton="0" quotePrefix="0" xfId="0">
      <alignment horizontal="center" vertical="center" wrapText="1"/>
    </xf>
    <xf numFmtId="0" fontId="11" fillId="0" borderId="15" applyAlignment="1" pivotButton="0" quotePrefix="0" xfId="0">
      <alignment horizontal="center" vertical="center" wrapText="1"/>
    </xf>
    <xf numFmtId="0" fontId="29"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8" fillId="9" borderId="1" applyAlignment="1" pivotButton="0" quotePrefix="0" xfId="0">
      <alignment vertical="top" wrapText="1"/>
    </xf>
    <xf numFmtId="0" fontId="1" fillId="0" borderId="0" applyAlignment="1" pivotButton="0" quotePrefix="0" xfId="0">
      <alignment horizontal="left" vertical="top" wrapTex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49" fontId="8" fillId="4" borderId="1" applyAlignment="1" pivotButton="0" quotePrefix="0" xfId="0">
      <alignment horizontal="center" vertical="center"/>
    </xf>
    <xf numFmtId="165" fontId="8" fillId="4" borderId="1" applyAlignment="1" pivotButton="0" quotePrefix="0" xfId="0">
      <alignment horizontal="center" vertical="center"/>
    </xf>
    <xf numFmtId="43" fontId="8" fillId="4" borderId="1" applyAlignment="1" pivotButton="0" quotePrefix="0" xfId="0">
      <alignment horizontal="center" vertical="center"/>
    </xf>
    <xf numFmtId="165" fontId="1" fillId="6" borderId="1" applyAlignment="1" applyProtection="1" pivotButton="0" quotePrefix="0" xfId="0">
      <alignment horizontal="right" vertical="center" wrapText="1"/>
      <protection locked="0" hidden="0"/>
    </xf>
    <xf numFmtId="165" fontId="1" fillId="6" borderId="1" applyAlignment="1" applyProtection="1" pivotButton="0" quotePrefix="0" xfId="0">
      <alignment horizontal="center" vertical="center" wrapText="1"/>
      <protection locked="0" hidden="0"/>
    </xf>
    <xf numFmtId="43" fontId="1" fillId="6" borderId="1" applyAlignment="1" applyProtection="1" pivotButton="0" quotePrefix="0" xfId="0">
      <alignment horizontal="center" vertical="center" wrapText="1"/>
      <protection locked="0" hidden="0"/>
    </xf>
    <xf numFmtId="43" fontId="8" fillId="4" borderId="1" applyAlignment="1" pivotButton="0" quotePrefix="0" xfId="0">
      <alignment horizontal="left" vertical="center"/>
    </xf>
    <xf numFmtId="43" fontId="1" fillId="4" borderId="1" applyAlignment="1" pivotButton="0" quotePrefix="0" xfId="0">
      <alignment horizontal="left" vertical="center"/>
    </xf>
    <xf numFmtId="43" fontId="22" fillId="0" borderId="1" applyAlignment="1" pivotButton="0" quotePrefix="0" xfId="0">
      <alignment horizontal="center" vertical="center"/>
    </xf>
    <xf numFmtId="3" fontId="1" fillId="3" borderId="1" pivotButton="0" quotePrefix="0" xfId="0"/>
    <xf numFmtId="0" fontId="1" fillId="6" borderId="1" applyAlignment="1" applyProtection="1" pivotButton="0" quotePrefix="0" xfId="0">
      <alignment horizontal="right" vertical="center" wrapText="1"/>
      <protection locked="0" hidden="0"/>
    </xf>
    <xf numFmtId="43" fontId="1" fillId="6" borderId="1" applyAlignment="1" applyProtection="1" pivotButton="0" quotePrefix="0" xfId="0">
      <alignment horizontal="right" vertical="center" wrapText="1"/>
      <protection locked="0" hidden="0"/>
    </xf>
    <xf numFmtId="0" fontId="17" fillId="0" borderId="0" pivotButton="0" quotePrefix="0" xfId="0"/>
    <xf numFmtId="43" fontId="8" fillId="0" borderId="0" pivotButton="0" quotePrefix="0" xfId="0"/>
    <xf numFmtId="0" fontId="30" fillId="0" borderId="0" pivotButton="0" quotePrefix="0" xfId="0"/>
    <xf numFmtId="165" fontId="13" fillId="2" borderId="15" applyAlignment="1" pivotButton="0" quotePrefix="0" xfId="0">
      <alignment horizontal="center" vertical="center" wrapText="1"/>
    </xf>
    <xf numFmtId="0" fontId="31" fillId="2" borderId="1" applyAlignment="1" pivotButton="0" quotePrefix="0" xfId="0">
      <alignment horizontal="center" vertical="center" wrapText="1"/>
    </xf>
    <xf numFmtId="0" fontId="16" fillId="2" borderId="1" applyAlignment="1" pivotButton="0" quotePrefix="0" xfId="0">
      <alignment horizontal="center" vertical="top" wrapText="1"/>
    </xf>
    <xf numFmtId="165" fontId="32" fillId="3" borderId="1" applyAlignment="1" pivotButton="0" quotePrefix="0" xfId="0">
      <alignment horizontal="center" vertical="center" wrapText="1"/>
    </xf>
    <xf numFmtId="165" fontId="33" fillId="3" borderId="1" applyAlignment="1" pivotButton="0" quotePrefix="0" xfId="0">
      <alignment horizontal="left" vertical="center" wrapText="1"/>
    </xf>
    <xf numFmtId="165" fontId="33" fillId="3" borderId="1" applyAlignment="1" pivotButton="0" quotePrefix="0" xfId="0">
      <alignment horizontal="center" vertical="center" wrapText="1"/>
    </xf>
    <xf numFmtId="165" fontId="12" fillId="3" borderId="1" applyAlignment="1" pivotButton="0" quotePrefix="0" xfId="0">
      <alignment horizontal="center" vertical="center" wrapText="1"/>
    </xf>
    <xf numFmtId="164" fontId="14" fillId="3" borderId="1" applyAlignment="1" applyProtection="1" pivotButton="0" quotePrefix="0" xfId="0">
      <alignment horizontal="center" vertical="center" wrapText="1"/>
      <protection locked="0" hidden="0"/>
    </xf>
    <xf numFmtId="1" fontId="14" fillId="4" borderId="1" applyAlignment="1" applyProtection="1" pivotButton="0" quotePrefix="0" xfId="0">
      <alignment horizontal="center" wrapText="1"/>
      <protection locked="0" hidden="0"/>
    </xf>
    <xf numFmtId="49" fontId="14" fillId="4" borderId="1" applyAlignment="1" applyProtection="1" pivotButton="0" quotePrefix="0" xfId="0">
      <alignment horizontal="center" vertical="center" wrapText="1"/>
      <protection locked="0" hidden="0"/>
    </xf>
    <xf numFmtId="0" fontId="8" fillId="4" borderId="1" applyAlignment="1" pivotButton="0" quotePrefix="0" xfId="0">
      <alignment horizontal="center"/>
    </xf>
    <xf numFmtId="43" fontId="34" fillId="4" borderId="1" applyAlignment="1" pivotButton="0" quotePrefix="0" xfId="0">
      <alignment horizontal="center"/>
    </xf>
    <xf numFmtId="43" fontId="35" fillId="4" borderId="1" applyAlignment="1" applyProtection="1" pivotButton="0" quotePrefix="0" xfId="0">
      <alignment horizontal="center" vertical="center" wrapText="1"/>
      <protection locked="0" hidden="0"/>
    </xf>
    <xf numFmtId="43" fontId="35" fillId="6" borderId="1" applyAlignment="1" applyProtection="1" pivotButton="0" quotePrefix="0" xfId="0">
      <alignment horizontal="center" vertical="top" wrapText="1"/>
      <protection locked="0" hidden="0"/>
    </xf>
    <xf numFmtId="43" fontId="35" fillId="4" borderId="1" applyAlignment="1" pivotButton="0" quotePrefix="0" xfId="0">
      <alignment horizontal="center" vertical="center"/>
    </xf>
    <xf numFmtId="43" fontId="35" fillId="6" borderId="1" applyAlignment="1" applyProtection="1" pivotButton="0" quotePrefix="0" xfId="0">
      <alignment horizontal="center" vertical="center" wrapText="1"/>
      <protection locked="0" hidden="0"/>
    </xf>
    <xf numFmtId="43" fontId="8"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7" fillId="9" borderId="0" pivotButton="0" quotePrefix="0" xfId="0"/>
    <xf numFmtId="0" fontId="8" fillId="9" borderId="0" applyAlignment="1" pivotButton="0" quotePrefix="0" xfId="0">
      <alignment horizontal="left"/>
    </xf>
    <xf numFmtId="0" fontId="8" fillId="9" borderId="0" pivotButton="0" quotePrefix="0" xfId="0"/>
    <xf numFmtId="165" fontId="8" fillId="9" borderId="0" pivotButton="0" quotePrefix="0" xfId="0"/>
    <xf numFmtId="0" fontId="0" fillId="2" borderId="0" applyAlignment="1" pivotButton="0" quotePrefix="0" xfId="0">
      <alignment wrapText="1"/>
    </xf>
    <xf numFmtId="0" fontId="22" fillId="2" borderId="0" applyAlignment="1" pivotButton="0" quotePrefix="0" xfId="0">
      <alignment wrapText="1"/>
    </xf>
    <xf numFmtId="0" fontId="0" fillId="0" borderId="0" applyAlignment="1" pivotButton="0" quotePrefix="0" xfId="0">
      <alignment wrapText="1"/>
    </xf>
    <xf numFmtId="0" fontId="4" fillId="0" borderId="0" applyAlignment="1" pivotButton="0" quotePrefix="0" xfId="0">
      <alignment horizontal="left" vertical="top" wrapText="1"/>
    </xf>
    <xf numFmtId="0" fontId="13" fillId="2" borderId="22" applyAlignment="1" pivotButton="0" quotePrefix="0" xfId="0">
      <alignment horizontal="center" vertical="center" wrapText="1"/>
    </xf>
    <xf numFmtId="0" fontId="13" fillId="2" borderId="23" applyAlignment="1" pivotButton="0" quotePrefix="0" xfId="0">
      <alignment horizontal="center" wrapText="1"/>
    </xf>
    <xf numFmtId="0" fontId="13" fillId="2" borderId="7" applyAlignment="1" pivotButton="0" quotePrefix="0" xfId="0">
      <alignment horizontal="center" vertical="center" wrapText="1"/>
    </xf>
    <xf numFmtId="0" fontId="13" fillId="2" borderId="24" applyAlignment="1" pivotButton="0" quotePrefix="0" xfId="0">
      <alignment horizontal="center" vertical="center" wrapText="1"/>
    </xf>
    <xf numFmtId="0" fontId="13" fillId="2" borderId="7" applyAlignment="1" pivotButton="0" quotePrefix="0" xfId="0">
      <alignment horizontal="left" vertical="center" wrapText="1"/>
    </xf>
    <xf numFmtId="0" fontId="36" fillId="2" borderId="7" applyAlignment="1" pivotButton="0" quotePrefix="0" xfId="0">
      <alignment horizontal="center" vertical="center" wrapText="1"/>
    </xf>
    <xf numFmtId="0" fontId="36" fillId="2" borderId="20" applyAlignment="1" pivotButton="0" quotePrefix="0" xfId="0">
      <alignment horizontal="center" vertical="center" wrapText="1"/>
    </xf>
    <xf numFmtId="0" fontId="13" fillId="9" borderId="15" applyAlignment="1" pivotButton="0" quotePrefix="0" xfId="0">
      <alignment horizontal="center" vertical="center" wrapText="1"/>
    </xf>
    <xf numFmtId="0" fontId="8" fillId="9" borderId="1" applyAlignment="1" pivotButton="0" quotePrefix="0" xfId="0">
      <alignment horizontal="center" vertical="center" wrapText="1"/>
    </xf>
    <xf numFmtId="166" fontId="8" fillId="4" borderId="1" applyAlignment="1" pivotButton="0" quotePrefix="0" xfId="0">
      <alignment horizontal="center" vertical="center" wrapText="1"/>
    </xf>
    <xf numFmtId="0" fontId="8" fillId="4" borderId="1" applyAlignment="1" pivotButton="0" quotePrefix="0" xfId="0">
      <alignment horizontal="center" vertical="center" wrapText="1"/>
    </xf>
    <xf numFmtId="168" fontId="1" fillId="6" borderId="1" applyAlignment="1" applyProtection="1" pivotButton="0" quotePrefix="0" xfId="0">
      <alignment horizontal="center" vertical="center" wrapText="1"/>
      <protection locked="0" hidden="0"/>
    </xf>
    <xf numFmtId="165" fontId="8" fillId="6" borderId="1" applyAlignment="1" pivotButton="0" quotePrefix="0" xfId="0">
      <alignment horizontal="center" vertical="center"/>
    </xf>
    <xf numFmtId="43" fontId="8" fillId="4" borderId="1" applyAlignment="1" pivotButton="0" quotePrefix="0" xfId="0">
      <alignment horizontal="center" vertical="center" wrapText="1"/>
    </xf>
    <xf numFmtId="43" fontId="1" fillId="4" borderId="1" applyAlignment="1" pivotButton="0" quotePrefix="0" xfId="0">
      <alignment horizontal="left" vertical="center" wrapText="1"/>
    </xf>
    <xf numFmtId="43" fontId="1" fillId="3" borderId="1" pivotButton="0" quotePrefix="0" xfId="0"/>
    <xf numFmtId="165" fontId="13" fillId="2" borderId="23" applyAlignment="1" pivotButton="0" quotePrefix="0" xfId="0">
      <alignment horizontal="center" vertical="center" wrapText="1"/>
    </xf>
    <xf numFmtId="0" fontId="8" fillId="0" borderId="0" pivotButton="0" quotePrefix="0" xfId="0"/>
    <xf numFmtId="0" fontId="14" fillId="4" borderId="1" applyAlignment="1" applyProtection="1" pivotButton="0" quotePrefix="0" xfId="0">
      <alignment horizontal="left" vertical="top" wrapText="1"/>
      <protection locked="0" hidden="0"/>
    </xf>
    <xf numFmtId="43" fontId="14" fillId="4" borderId="18" applyAlignment="1" pivotButton="0" quotePrefix="0" xfId="0">
      <alignment horizontal="center" vertical="center"/>
    </xf>
    <xf numFmtId="0" fontId="8" fillId="9" borderId="0" applyAlignment="1" pivotButton="0" quotePrefix="0" xfId="0">
      <alignment wrapText="1"/>
    </xf>
    <xf numFmtId="0" fontId="0" fillId="0" borderId="21" pivotButton="0" quotePrefix="0" xfId="0"/>
    <xf numFmtId="0" fontId="0" fillId="0" borderId="14" pivotButton="0" quotePrefix="0" xfId="0"/>
    <xf numFmtId="166" fontId="8" fillId="4" borderId="1" applyAlignment="1" pivotButton="0" quotePrefix="0" xfId="0">
      <alignment horizontal="center" vertical="center"/>
    </xf>
    <xf numFmtId="0" fontId="0" fillId="0" borderId="17" pivotButton="0" quotePrefix="0" xfId="0"/>
    <xf numFmtId="0" fontId="0" fillId="0" borderId="17" applyProtection="1" pivotButton="0" quotePrefix="0" xfId="0">
      <protection locked="0" hidden="0"/>
    </xf>
    <xf numFmtId="0" fontId="0" fillId="0" borderId="18" pivotButton="0" quotePrefix="0" xfId="0"/>
    <xf numFmtId="0" fontId="0" fillId="0" borderId="18" applyProtection="1" pivotButton="0" quotePrefix="0" xfId="0">
      <protection locked="0" hidden="0"/>
    </xf>
    <xf numFmtId="0" fontId="0" fillId="0" borderId="1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tc={6319361A-EE5B-487E-A7EE-A1D97F6C4B04}</author>
    <author>tc={9083B5F6-6E86-4FD2-BA50-377B3A292D63}</author>
  </authors>
  <commentList>
    <comment ref="P37" authorId="0" shapeId="0">
      <text>
        <t>[Threaded comment]
Your version of Excel allows you to read this threaded comment; however, any edits to it will get removed if the file is opened in a newer version of Excel. Learn more: https://go.microsoft.com/fwlink/?linkid=870924
Comment:
    标红列为需要audit团队跟进填写的程序</t>
      </text>
    </comment>
    <comment ref="B114" authorId="1" shapeId="0">
      <text>
        <t>[Threaded comment]
Your version of Excel allows you to read this threaded comment; however, any edits to it will get removed if the file is opened in a newer version of Excel. Learn more: https://go.microsoft.com/fwlink/?linkid=870924
Comment:
    如有增加其他audit程序需要填写此部分内容。</t>
      </text>
    </comment>
  </commentList>
</comments>
</file>

<file path=xl/comments/comment2.xml><?xml version="1.0" encoding="utf-8"?>
<comments xmlns="http://schemas.openxmlformats.org/spreadsheetml/2006/main">
  <authors>
    <author>tc={78AEE878-35AC-471E-A3FE-032EB9F93870}</author>
    <author>tc={B814B299-E5E1-4357-8553-AD51F8FEBC22}</author>
  </authors>
  <commentList>
    <comment ref="R22" authorId="0" shapeId="0">
      <text>
        <t>[Threaded comment]
Your version of Excel allows you to read this threaded comment; however, any edits to it will get removed if the file is opened in a newer version of Excel. Learn more: https://go.microsoft.com/fwlink/?linkid=870924
Comment:
    标红列为需要audit团队跟进填写的程序。</t>
      </text>
    </comment>
    <comment ref="B168" authorId="1" shapeId="0">
      <text>
        <t>[Threaded comment]
Your version of Excel allows you to read this threaded comment; however, any edits to it will get removed if the file is opened in a newer version of Excel. Learn more: https://go.microsoft.com/fwlink/?linkid=870924
Comment:
    如有增加其他audit程序需要填写此部分内容。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Z115"/>
  <sheetViews>
    <sheetView showGridLines="0" workbookViewId="0">
      <pane xSplit="1" ySplit="37" topLeftCell="B38" activePane="bottomRight" state="frozen"/>
      <selection pane="topRight"/>
      <selection pane="bottomLeft"/>
      <selection pane="bottomRight" activeCell="A1" sqref="A1"/>
    </sheetView>
  </sheetViews>
  <sheetFormatPr baseColWidth="8" defaultColWidth="8.54296875" defaultRowHeight="12.5"/>
  <cols>
    <col width="1.81640625" customWidth="1" min="1" max="1"/>
    <col width="8.81640625" customWidth="1" min="2" max="2"/>
    <col width="18" customWidth="1" min="3" max="3"/>
    <col width="13.81640625" customWidth="1" min="4" max="4"/>
    <col width="22.54296875" customWidth="1" min="5" max="5"/>
    <col width="20.7265625" customWidth="1" min="6" max="6"/>
    <col width="11.90625" customWidth="1" min="7" max="7"/>
    <col width="23.1796875" customWidth="1" min="10" max="10"/>
    <col width="11.90625" customWidth="1" min="11" max="11"/>
    <col width="16.26953125" customWidth="1" min="12" max="12"/>
    <col width="11.90625" customWidth="1" min="13" max="13"/>
    <col width="23.26953125" customWidth="1" min="14" max="14"/>
    <col width="11.90625" customWidth="1" min="15" max="15"/>
    <col width="19.1796875" customWidth="1" min="16" max="16"/>
    <col width="33.1796875" customWidth="1" min="17" max="17"/>
    <col width="14.81640625" customWidth="1" min="18" max="18"/>
    <col width="31" customWidth="1" min="19" max="19"/>
    <col width="18.6328125" customWidth="1" min="20" max="20"/>
    <col width="29.453125" customWidth="1" min="21" max="21"/>
    <col width="31.81640625" customWidth="1" min="22" max="22"/>
    <col width="11.90625" customWidth="1" min="23" max="23"/>
    <col width="118.81640625" customWidth="1" min="24" max="24"/>
    <col width="35" customWidth="1" min="25" max="25"/>
    <col width="64.81640625" customWidth="1" min="26" max="26"/>
    <col width="8.54296875" customWidth="1" min="27" max="27"/>
  </cols>
  <sheetData>
    <row r="1" ht="5.15" customHeight="1">
      <c r="A1" s="93" t="n"/>
      <c r="C1" s="193" t="n"/>
      <c r="D1" s="193" t="n"/>
      <c r="Q1" s="94" t="n"/>
    </row>
    <row r="2" ht="53.15" customHeight="1">
      <c r="B2" s="96" t="inlineStr">
        <is>
          <t>kpmg    存货的固定加工成本 (标准成本法)  - 重新计算</t>
        </is>
      </c>
      <c r="C2" s="194" t="n"/>
      <c r="D2" s="194" t="n"/>
      <c r="Q2" s="97" t="n"/>
    </row>
    <row r="3" ht="14.5" customHeight="1">
      <c r="B3" s="96" t="inlineStr">
        <is>
          <t xml:space="preserve">
（本实质性程序模板用于测试标准成本法下的存货固定加工成本。）</t>
        </is>
      </c>
      <c r="C3" s="194" t="n"/>
      <c r="D3" s="194" t="n"/>
      <c r="Q3" s="97" t="n"/>
    </row>
    <row r="4" hidden="1" ht="14.5" customHeight="1">
      <c r="B4" s="100" t="n"/>
      <c r="C4" s="195" t="n"/>
      <c r="D4" s="195" t="n"/>
      <c r="Q4" s="101" t="n"/>
    </row>
    <row r="5" ht="14.5" customHeight="1">
      <c r="B5" s="100" t="n"/>
      <c r="C5" s="195" t="n"/>
      <c r="D5" s="195" t="n"/>
      <c r="Q5" s="101" t="n"/>
    </row>
    <row r="6" ht="19.4" customHeight="1">
      <c r="A6" s="103" t="n"/>
      <c r="B6" s="104" t="inlineStr">
        <is>
          <t>This procedure template is designed for use in conjunction with the relevant KPMG Clara workflow activity screen and substantive procedure from the KPMG Clara workflow library</t>
        </is>
      </c>
      <c r="C6" s="103" t="n"/>
      <c r="D6" s="103" t="n"/>
      <c r="E6" s="103" t="n"/>
      <c r="F6" s="103" t="n"/>
      <c r="G6" s="103" t="n"/>
      <c r="H6" s="103" t="n"/>
      <c r="I6" s="103" t="n"/>
      <c r="J6" s="103" t="n"/>
      <c r="K6" s="106" t="n"/>
      <c r="L6" s="106" t="n"/>
      <c r="M6" s="106" t="n"/>
      <c r="N6" s="106" t="n"/>
      <c r="O6" s="106" t="n"/>
      <c r="P6" s="106" t="n"/>
      <c r="Q6" s="196" t="n"/>
      <c r="R6" s="107" t="n"/>
      <c r="S6" s="107" t="n"/>
      <c r="T6" s="108" t="n"/>
      <c r="U6" s="108" t="n"/>
    </row>
    <row r="7" ht="16.5" customHeight="1">
      <c r="A7" s="103" t="n"/>
      <c r="B7" s="104" t="inlineStr">
        <is>
          <t>The engagement team determines whether additional tick marks, other notations and/or additional information are relevant to document on this procedure template based on any custom steps that were added to the substantive procedure and/or the results obtained from performing the testing steps.</t>
        </is>
      </c>
      <c r="C7" s="103" t="n"/>
      <c r="D7" s="103" t="n"/>
      <c r="E7" s="103" t="n"/>
      <c r="F7" s="103" t="n"/>
      <c r="G7" s="103" t="n"/>
      <c r="H7" s="103" t="n"/>
      <c r="I7" s="103" t="n"/>
      <c r="J7" s="103" t="n"/>
      <c r="K7" s="106" t="n"/>
      <c r="L7" s="106" t="n"/>
      <c r="M7" s="106" t="n"/>
      <c r="N7" s="106" t="n"/>
      <c r="O7" s="106" t="n"/>
      <c r="P7" s="106" t="n"/>
      <c r="Q7" s="196" t="n"/>
      <c r="R7" s="107" t="n"/>
      <c r="S7" s="107" t="n"/>
      <c r="T7" s="108" t="n"/>
      <c r="U7" s="108" t="n"/>
    </row>
    <row r="8" ht="14" customHeight="1">
      <c r="B8" s="100" t="n"/>
      <c r="C8" s="107" t="n"/>
      <c r="D8" s="107" t="n"/>
      <c r="Q8" s="109" t="n"/>
    </row>
    <row r="9" outlineLevel="1" ht="29" customHeight="1">
      <c r="B9" s="111" t="inlineStr">
        <is>
          <t>程序索引号</t>
        </is>
      </c>
      <c r="E9" s="112" t="inlineStr">
        <is>
          <t>SPD03012</t>
        </is>
      </c>
      <c r="F9" s="114" t="n"/>
      <c r="G9" s="114" t="n"/>
    </row>
    <row r="10" outlineLevel="1" ht="14.5" customHeight="1">
      <c r="B10" s="116" t="inlineStr">
        <is>
          <t xml:space="preserve">币种 </t>
        </is>
      </c>
      <c r="E10" s="117" t="inlineStr">
        <is>
          <t>人民币</t>
        </is>
      </c>
      <c r="F10" s="118" t="n"/>
      <c r="G10" s="118" t="n"/>
    </row>
    <row r="11" outlineLevel="1" ht="43.5" customHeight="1">
      <c r="B11" s="119" t="inlineStr">
        <is>
          <t>单位（例如千、百万）</t>
        </is>
      </c>
      <c r="E11" s="120" t="inlineStr">
        <is>
          <t xml:space="preserve"> </t>
        </is>
      </c>
    </row>
    <row r="12" outlineLevel="1" ht="14.5" customHeight="1">
      <c r="B12" s="116" t="n"/>
      <c r="E12" s="12" t="n"/>
      <c r="F12" s="114" t="n"/>
      <c r="G12" s="114" t="n"/>
    </row>
    <row r="13" outlineLevel="1" ht="14.5" customHeight="1">
      <c r="B13" s="116" t="n"/>
      <c r="E13" s="12" t="n"/>
      <c r="F13" s="118" t="n"/>
      <c r="G13" s="118" t="n"/>
    </row>
    <row r="14" outlineLevel="1" ht="14.5" customHeight="1">
      <c r="B14" s="116" t="inlineStr">
        <is>
          <t>期间开始日</t>
        </is>
      </c>
      <c r="E14" s="122" t="n">
        <v>45292</v>
      </c>
    </row>
    <row r="15" ht="5" customHeight="1">
      <c r="A15" s="93" t="n"/>
      <c r="P15" s="94" t="n"/>
    </row>
    <row r="16" ht="53" customHeight="1">
      <c r="B16" s="96" t="inlineStr">
        <is>
          <t>kpmg    存货的固定加工成本 (标准成本法)  - 重新计算</t>
        </is>
      </c>
      <c r="P16" s="97" t="n"/>
    </row>
    <row r="17" ht="14.5" customHeight="1">
      <c r="B17" s="96" t="inlineStr">
        <is>
          <t xml:space="preserve">
（本实质性程序模板用于测试标准成本法下的存货固定加工成本。）</t>
        </is>
      </c>
      <c r="P17" s="97" t="n"/>
    </row>
    <row r="18" hidden="1" ht="14.5" customHeight="1">
      <c r="B18" s="100" t="n"/>
      <c r="P18" s="101" t="n"/>
    </row>
    <row r="19" hidden="1" ht="14.5" customHeight="1">
      <c r="B19" s="100" t="n"/>
      <c r="P19" s="101" t="n"/>
    </row>
    <row r="20" hidden="1" ht="19.4" customHeight="1">
      <c r="A20" s="103" t="n"/>
      <c r="B20" s="104" t="inlineStr">
        <is>
          <t>This procedure template is designed for use in conjunction with the relevant KPMG Clara workflow activity screen and substantive procedure from the KPMG Clara workflow library</t>
        </is>
      </c>
      <c r="C20" s="103" t="n"/>
      <c r="D20" s="103" t="n"/>
      <c r="E20" s="103" t="n"/>
      <c r="F20" s="103" t="n"/>
      <c r="G20" s="103" t="n"/>
      <c r="H20" s="103" t="n"/>
      <c r="I20" s="103" t="n"/>
      <c r="J20" s="106" t="n"/>
      <c r="K20" s="106" t="n"/>
      <c r="L20" s="106" t="n"/>
      <c r="M20" s="106" t="n"/>
      <c r="N20" s="106" t="n"/>
      <c r="O20" s="106" t="n"/>
      <c r="P20" s="196" t="n"/>
      <c r="Q20" s="107" t="n"/>
      <c r="R20" s="107" t="n"/>
      <c r="S20" s="108" t="n"/>
      <c r="T20" s="108" t="n"/>
    </row>
    <row r="21" hidden="1" ht="16.5" customHeight="1">
      <c r="A21" s="103" t="n"/>
      <c r="B21" s="104" t="inlineStr">
        <is>
          <t>The engagement team determines whether additional tick marks, other notations and/or additional information are relevant to document on this procedure template based on any custom steps that were added to the substantive procedure and/or the results obtained from performing the testing steps.</t>
        </is>
      </c>
      <c r="C21" s="103" t="n"/>
      <c r="D21" s="103" t="n"/>
      <c r="E21" s="103" t="n"/>
      <c r="F21" s="103" t="n"/>
      <c r="G21" s="103" t="n"/>
      <c r="H21" s="103" t="n"/>
      <c r="I21" s="103" t="n"/>
      <c r="J21" s="106" t="n"/>
      <c r="K21" s="106" t="n"/>
      <c r="L21" s="106" t="n"/>
      <c r="M21" s="106" t="n"/>
      <c r="N21" s="106" t="n"/>
      <c r="O21" s="106" t="n"/>
      <c r="P21" s="196" t="n"/>
      <c r="Q21" s="107" t="n"/>
      <c r="R21" s="107" t="n"/>
      <c r="S21" s="108" t="n"/>
      <c r="T21" s="108" t="n"/>
    </row>
    <row r="22" hidden="1" ht="14" customHeight="1">
      <c r="B22" s="100" t="n"/>
      <c r="P22" s="109" t="n"/>
    </row>
    <row r="23" hidden="1" outlineLevel="1" ht="29" customHeight="1">
      <c r="B23" s="111" t="inlineStr">
        <is>
          <t>程序索引号</t>
        </is>
      </c>
      <c r="E23" s="112" t="inlineStr">
        <is>
          <t>SPD03012</t>
        </is>
      </c>
      <c r="F23" s="114" t="n"/>
      <c r="P23" s="128" t="n"/>
    </row>
    <row r="24" hidden="1" outlineLevel="1" ht="14.5" customHeight="1">
      <c r="B24" s="116" t="inlineStr">
        <is>
          <t xml:space="preserve">币种 </t>
        </is>
      </c>
      <c r="E24" s="117" t="inlineStr">
        <is>
          <t>人民币</t>
        </is>
      </c>
      <c r="F24" s="118" t="n"/>
      <c r="P24" s="128" t="n"/>
    </row>
    <row r="25" hidden="1" outlineLevel="1" ht="43.5" customHeight="1">
      <c r="B25" s="119" t="inlineStr">
        <is>
          <t>单位（例如千、百万）</t>
        </is>
      </c>
      <c r="E25" s="120" t="inlineStr">
        <is>
          <t xml:space="preserve"> </t>
        </is>
      </c>
      <c r="P25" s="128" t="n"/>
    </row>
    <row r="26" hidden="1" outlineLevel="1" ht="14.5" customHeight="1">
      <c r="B26" s="116" t="n"/>
      <c r="E26" s="12" t="n"/>
      <c r="F26" s="114" t="n"/>
      <c r="P26" s="128" t="n"/>
    </row>
    <row r="27" hidden="1" outlineLevel="1" ht="14.5" customHeight="1">
      <c r="B27" s="116" t="n"/>
      <c r="E27" s="12" t="n"/>
      <c r="F27" s="118" t="n"/>
      <c r="P27" s="128" t="n"/>
    </row>
    <row r="28" hidden="1" outlineLevel="1" ht="14.5" customHeight="1">
      <c r="B28" s="116" t="inlineStr">
        <is>
          <t>期间开始日</t>
        </is>
      </c>
      <c r="E28" s="122" t="n">
        <v>45292</v>
      </c>
      <c r="P28" s="128" t="n"/>
    </row>
    <row r="29" hidden="1" outlineLevel="1" ht="14.5" customHeight="1">
      <c r="B29" s="116" t="inlineStr">
        <is>
          <t>期间截止日</t>
        </is>
      </c>
      <c r="E29" s="122" t="n">
        <v>45657</v>
      </c>
      <c r="P29" s="128" t="n"/>
    </row>
    <row r="30" hidden="1" ht="13" customHeight="1">
      <c r="C30" s="125" t="n"/>
      <c r="D30" s="125" t="n"/>
      <c r="E30" s="125" t="n"/>
      <c r="P30" s="128" t="n"/>
    </row>
    <row r="31" hidden="1" ht="12.65" customHeight="1">
      <c r="A31" s="126" t="n"/>
      <c r="B31" s="127" t="inlineStr">
        <is>
          <t>Dates in this procedure template follow the international format dd/mm/yyyy. This includes the dates used in the formula for the recalculation.</t>
        </is>
      </c>
      <c r="C31" s="128" t="n"/>
      <c r="D31" s="128" t="n"/>
      <c r="E31" s="128" t="n"/>
      <c r="F31" s="127" t="n"/>
      <c r="G31" s="127" t="n"/>
      <c r="H31" s="128" t="n"/>
      <c r="I31" s="128" t="n"/>
      <c r="J31" s="128" t="n"/>
      <c r="K31" s="128" t="n"/>
      <c r="L31" s="130" t="n"/>
      <c r="M31" s="130" t="n"/>
      <c r="N31" s="130" t="n"/>
      <c r="O31" s="130" t="n"/>
      <c r="P31" s="130" t="n"/>
    </row>
    <row r="32" hidden="1" ht="25.4" customHeight="1">
      <c r="A32" s="126" t="n"/>
      <c r="B32" s="127" t="inlineStr">
        <is>
          <t>If the sample size for the substantive procedure is greater than the number of rows in the table below, copy and paste rows rather than inserting blank rows, to ensure that the formulas and pick-list options flow down to all rows.</t>
        </is>
      </c>
      <c r="K32" s="131" t="n"/>
      <c r="P32" s="128" t="n"/>
    </row>
    <row r="33" ht="25" customHeight="1">
      <c r="A33" s="126" t="n"/>
      <c r="B33" s="132" t="inlineStr">
        <is>
          <t>Table A: 成本差异重新计算，检查费用/支出至相关文件以及评估分配率是否合理。</t>
        </is>
      </c>
      <c r="J33" s="169" t="n"/>
      <c r="K33" s="169" t="n"/>
      <c r="P33" s="128" t="n"/>
    </row>
    <row r="34" ht="44" customHeight="1">
      <c r="B34" s="197" t="inlineStr">
        <is>
          <t>SAP系统取订单成本明细表</t>
        </is>
      </c>
      <c r="J34" s="134" t="inlineStr">
        <is>
          <t>重新计算成本差异</t>
        </is>
      </c>
      <c r="L34" s="134" t="inlineStr">
        <is>
          <t>基于生产报告</t>
        </is>
      </c>
      <c r="N34" s="134" t="inlineStr">
        <is>
          <t>重新计算人工和/或间接费用差异分配率</t>
        </is>
      </c>
      <c r="P34" s="135" t="inlineStr">
        <is>
          <t>a. 基于相关文件</t>
        </is>
      </c>
      <c r="T34" s="198" t="inlineStr">
        <is>
          <t>测试步骤</t>
        </is>
      </c>
    </row>
    <row r="35" ht="113.5" customHeight="1">
      <c r="B35" s="134" t="inlineStr">
        <is>
          <t>样本编号</t>
        </is>
      </c>
      <c r="C35" s="134" t="inlineStr">
        <is>
          <t>订单编号</t>
        </is>
      </c>
      <c r="D35" s="134" t="inlineStr">
        <is>
          <t>成本中心</t>
        </is>
      </c>
      <c r="E35" s="134" t="inlineStr">
        <is>
          <t>费用性质</t>
        </is>
      </c>
      <c r="F35" s="134" t="inlineStr">
        <is>
          <t>标准成本金额</t>
        </is>
      </c>
      <c r="G35" s="134" t="inlineStr">
        <is>
          <t xml:space="preserve">
实际成本金额</t>
        </is>
      </c>
      <c r="H35" s="138" t="inlineStr">
        <is>
          <t>成本差异金额</t>
        </is>
      </c>
      <c r="I35" s="138" t="inlineStr">
        <is>
          <t>人工和/或间接费用差异分配率</t>
        </is>
      </c>
      <c r="J35" s="134" t="inlineStr">
        <is>
          <t>实际应分摊至该存货的成本差异金额</t>
        </is>
      </c>
      <c r="K35" s="141" t="inlineStr">
        <is>
          <t>差异</t>
        </is>
      </c>
      <c r="L35" s="141" t="inlineStr">
        <is>
          <t>实际人工小时数</t>
        </is>
      </c>
      <c r="M35" s="141" t="inlineStr">
        <is>
          <t>间接费用分配率</t>
        </is>
      </c>
      <c r="N35" s="134" t="inlineStr">
        <is>
          <t>实际人工和/或间接费用差异分配率</t>
        </is>
      </c>
      <c r="O35" s="141" t="inlineStr">
        <is>
          <t>差异</t>
        </is>
      </c>
      <c r="P35" s="134" t="inlineStr">
        <is>
          <t>文件索引号</t>
        </is>
      </c>
      <c r="Q35" s="134" t="inlineStr">
        <is>
          <t>文件类型</t>
        </is>
      </c>
      <c r="R35" s="134" t="inlineStr">
        <is>
          <t xml:space="preserve"> 实际人工小时</t>
        </is>
      </c>
      <c r="S35" s="134" t="inlineStr">
        <is>
          <t>[其他相关数据要素，如适用（请注明）]</t>
        </is>
      </c>
      <c r="T35" s="143" t="inlineStr">
        <is>
          <t>Step 1. 检查固定直接或间接人工或间接生产费用至相关文件。</t>
        </is>
      </c>
      <c r="U35" s="134" t="inlineStr">
        <is>
          <t xml:space="preserve">Step 3a. 评价期末记入存货的固定直接和间接人工或间接生产费用的分摊方法是否合理
</t>
        </is>
      </c>
      <c r="V35" s="141" t="inlineStr">
        <is>
          <t>Step 3b.若实际生产接近正常产能，则根据实际生产水平，评估使用该方法能否使人工/固定间接费用系统地分配到制成品</t>
        </is>
      </c>
      <c r="W35" s="134" t="inlineStr">
        <is>
          <t>注释</t>
        </is>
      </c>
      <c r="X35" s="144" t="inlineStr">
        <is>
          <t>Learning points</t>
        </is>
      </c>
    </row>
    <row r="36" ht="5.15" customHeight="1">
      <c r="B36" s="199" t="n"/>
      <c r="C36" s="199" t="n"/>
      <c r="D36" s="199" t="n"/>
      <c r="E36" s="199" t="n"/>
      <c r="F36" s="199" t="n"/>
      <c r="G36" s="200" t="n"/>
      <c r="H36" s="200" t="n"/>
      <c r="I36" s="199" t="n"/>
      <c r="J36" s="200" t="n"/>
      <c r="K36" s="200" t="n"/>
      <c r="L36" s="200" t="n"/>
      <c r="M36" s="200" t="n"/>
      <c r="N36" s="200" t="n"/>
      <c r="O36" s="200" t="n"/>
      <c r="P36" s="199" t="n"/>
      <c r="Q36" s="201" t="n"/>
      <c r="R36" s="202" t="n"/>
      <c r="S36" s="203" t="n"/>
      <c r="T36" s="203" t="n"/>
      <c r="U36" s="203" t="n"/>
      <c r="V36" s="203" t="n"/>
      <c r="W36" s="203" t="n"/>
    </row>
    <row r="37" ht="89.5" customHeight="1">
      <c r="B37" s="145" t="inlineStr">
        <is>
          <t>Formula key</t>
        </is>
      </c>
      <c r="C37" s="148" t="n"/>
      <c r="D37" s="148" t="n"/>
      <c r="E37" s="148" t="n"/>
      <c r="F37" s="149" t="inlineStr">
        <is>
          <t>A-CO03- 全部计划成本</t>
        </is>
      </c>
      <c r="G37" s="149" t="inlineStr">
        <is>
          <t>B-CO03-         总的实际成本</t>
        </is>
      </c>
      <c r="H37" s="149" t="inlineStr">
        <is>
          <t>C-CO03-计划/实际成本差异</t>
        </is>
      </c>
      <c r="I37" s="149" t="inlineStr">
        <is>
          <t>D-KSBT-实际作业费率-(PRI-5)</t>
        </is>
      </c>
      <c r="J37" s="149" t="inlineStr">
        <is>
          <t>E=G实际人工小时数*D实际作业费率-A标准成本金额</t>
        </is>
      </c>
      <c r="K37" s="149" t="inlineStr">
        <is>
          <t>F=C-E</t>
        </is>
      </c>
      <c r="L37" s="149" t="inlineStr">
        <is>
          <t>G=CO03-实际总计数量</t>
        </is>
      </c>
      <c r="M37" s="149" t="inlineStr">
        <is>
          <t>H=间接费用分配率</t>
        </is>
      </c>
      <c r="N37" s="149" t="inlineStr">
        <is>
          <t>I= &lt;3611-实际成本金额&gt;/&lt;3611-实际作业总工时&gt;</t>
        </is>
      </c>
      <c r="O37" s="149" t="inlineStr">
        <is>
          <t>J= I-C</t>
        </is>
      </c>
      <c r="P37" s="204" t="n"/>
      <c r="Q37" s="204" t="n"/>
      <c r="R37" s="151" t="n"/>
      <c r="S37" s="151" t="n"/>
      <c r="T37" s="151" t="n"/>
      <c r="U37" s="151" t="n"/>
      <c r="V37" s="151" t="n"/>
      <c r="W37" s="205" t="n"/>
      <c r="X37" s="153" t="inlineStr">
        <is>
          <t>1. 若被审计单位无法提供“本年固定直接或间接人工和间接生产费用清单”，可以将生产成本的借方金额汇总并进行整理，筛选出需要测试的总体金额。
2. 应通过穿行测试等了解从归集到分配的整个过程，在执行本程序时，应按照客户的分配逻辑追踪整个过程，并且测试单元应将存货清单中的最小分配单元作为抽样单元进行测试。
3. 在选取样本时，应结合分析程序，选择可能存在重大错报风险的样本（如某些车间、订单等）
4. 若项目组利用IT Audit对被审计单位的分配逻辑进行测试，即使在IT Audit对分配公式在全年是否一贯使用及分配是否准确得出结论后，由于使用的数据可能存在重大错报风险， 项目组仍应对分配逻辑是否一贯使用以及在分配中使用的数据进行测试并得出相应结论。
5. 在对分配率进行抽凭时，项目组需要了解被审计单位按照什么标准对费用进行分配，例如，使用实际人工工时进行分配时，项目组可以抽取相关的工单并查看实际发生的用工工时，以验证被审计单位使用实际工时计算的分配率是否准确。                                                                                                                                                                                                     6. 项目组需要关注对分配率的合理性进行检查，包括询问管理层如何设置合理的分配率，是否有正式文件，以及是否一贯使用该分配率。若分配率需要调整，被审计单位是否按照既定的审核规定进行批准审核。管理层没有分摊或者分摊不准确，是最有可能发生错报环节的流程。对于该风险，由于其直接影响BS中的存货科目、以及PL中的营业成本科目列报金额的准确性，管理层没有分摊或者分摊不准确这一控制的失效风险很高，所以该控制点可能是存货流程中最关键的控制点，在应对上采用控制测试加实质性程序的方式，确保该流程不存在重大错报风险。</t>
        </is>
      </c>
    </row>
    <row r="38" ht="27.5" customHeight="1">
      <c r="B38" s="206" t="inlineStr">
        <is>
          <t>样本1</t>
        </is>
      </c>
      <c r="C38" s="207" t="n">
        <v>11000437</v>
      </c>
      <c r="D38" s="156" t="inlineStr">
        <is>
          <t>1100P00001</t>
        </is>
      </c>
      <c r="E38" s="157" t="inlineStr">
        <is>
          <t>直接人工</t>
        </is>
      </c>
      <c r="F38" s="158">
        <f>'CO03'!E51</f>
        <v/>
      </c>
      <c r="G38" s="158">
        <f>'CO03'!F51</f>
        <v/>
      </c>
      <c r="H38" s="158">
        <f>'CO03'!G51</f>
        <v/>
      </c>
      <c r="I38" s="158">
        <f>KSBT!Z19</f>
        <v/>
      </c>
      <c r="J38" s="161">
        <f>L38*N38-F38</f>
        <v/>
      </c>
      <c r="K38" s="208">
        <f>H38-J38</f>
        <v/>
      </c>
      <c r="L38" s="157">
        <f>'CO03'!H51</f>
        <v/>
      </c>
      <c r="M38" s="157" t="inlineStr">
        <is>
          <t>不适用</t>
        </is>
      </c>
      <c r="N38" s="209">
        <f>'3611'!AB16</f>
        <v/>
      </c>
      <c r="O38" s="208">
        <f>N38-I38</f>
        <v/>
      </c>
      <c r="P38" s="210" t="inlineStr">
        <is>
          <t>SPD03012_SPP_1-制造费用费率配置表</t>
        </is>
      </c>
      <c r="Q38" s="162" t="inlineStr">
        <is>
          <t>截屏类电子文件【Electronic document】</t>
        </is>
      </c>
      <c r="R38" s="158">
        <f>L38</f>
        <v/>
      </c>
      <c r="S38" s="211" t="inlineStr">
        <is>
          <t>制造费用费率manufacturing overhead cost rate</t>
        </is>
      </c>
      <c r="T38" s="164" t="inlineStr">
        <is>
          <t>Agrees相符</t>
        </is>
      </c>
      <c r="U38" s="164" t="inlineStr">
        <is>
          <t>Reasonable合理</t>
        </is>
      </c>
      <c r="V38" s="164" t="inlineStr">
        <is>
          <t>Yes是</t>
        </is>
      </c>
      <c r="W38" s="212" t="n"/>
      <c r="X38" s="153" t="n"/>
    </row>
    <row r="39" ht="27.5" customHeight="1">
      <c r="P39" s="210" t="inlineStr">
        <is>
          <t>SPD03012_SPP_2-成本中心、成本要素、成本要素组对应关系配置表</t>
        </is>
      </c>
      <c r="Q39" s="162" t="inlineStr">
        <is>
          <t>截屏类电子文件【Electronic document】</t>
        </is>
      </c>
      <c r="S39" s="211" t="inlineStr">
        <is>
          <t>成本中心编码/名称Cost centres ID/Name
成本要素编码/名称cost elements ID/Name
成本要素组编码/名称cost element groups ID/Name</t>
        </is>
      </c>
      <c r="T39" s="164" t="inlineStr">
        <is>
          <t>N/A不适用</t>
        </is>
      </c>
      <c r="U39" s="164" t="inlineStr">
        <is>
          <t>Not selected未选</t>
        </is>
      </c>
      <c r="V39" s="164" t="inlineStr">
        <is>
          <t>N/A不适用</t>
        </is>
      </c>
      <c r="W39" s="212" t="n"/>
      <c r="X39" s="153" t="n"/>
    </row>
    <row r="40" ht="27.5" customHeight="1">
      <c r="P40" s="210" t="inlineStr">
        <is>
          <t>SPD03012_SPP_3-辅助生产费用分摊权重数配置表</t>
        </is>
      </c>
      <c r="Q40" s="162" t="inlineStr">
        <is>
          <t>截屏类电子文件【Electronic document】</t>
        </is>
      </c>
      <c r="S40" s="211" t="inlineStr">
        <is>
          <t>辅助生产费用分摊权重数Numbers of weights for the allocation of auxiliary production costs</t>
        </is>
      </c>
      <c r="T40" s="164" t="inlineStr">
        <is>
          <t>N/A不适用</t>
        </is>
      </c>
      <c r="U40" s="164" t="inlineStr">
        <is>
          <t>Not selected未选</t>
        </is>
      </c>
      <c r="V40" s="164" t="inlineStr">
        <is>
          <t>N/A不适用</t>
        </is>
      </c>
      <c r="W40" s="212" t="n"/>
      <c r="X40" s="153" t="n"/>
    </row>
    <row r="41" ht="27.5" customHeight="1">
      <c r="P41" s="210" t="inlineStr">
        <is>
          <t>SPD03012_SPP_4-实际定额工时配置表</t>
        </is>
      </c>
      <c r="Q41" s="162" t="inlineStr">
        <is>
          <t>截屏类电子文件【Electronic document】</t>
        </is>
      </c>
      <c r="S41" s="211" t="inlineStr">
        <is>
          <t>实际定额工时Actual rated hours</t>
        </is>
      </c>
      <c r="T41" s="164" t="inlineStr">
        <is>
          <t>Agrees相符</t>
        </is>
      </c>
      <c r="U41" s="164" t="inlineStr">
        <is>
          <t>Reasonable合理</t>
        </is>
      </c>
      <c r="V41" s="164" t="inlineStr">
        <is>
          <t>Yes是</t>
        </is>
      </c>
      <c r="W41" s="212" t="n"/>
      <c r="X41" s="153" t="n"/>
    </row>
    <row r="42" ht="27.5" customHeight="1">
      <c r="P42" s="210" t="inlineStr">
        <is>
          <t>SPD03012_SPP_5-&lt;CO03_成本分析&gt;表</t>
        </is>
      </c>
      <c r="Q42" s="162" t="inlineStr">
        <is>
          <t>清单类电子数据【Electronic data】</t>
        </is>
      </c>
      <c r="S42" s="211" t="inlineStr">
        <is>
          <t>完工数量Completed quantity
实际成本[“总的实际成本”]Actual cost ["total actual cost"]</t>
        </is>
      </c>
      <c r="T42" s="164" t="inlineStr">
        <is>
          <t>Agrees相符</t>
        </is>
      </c>
      <c r="U42" s="164" t="inlineStr">
        <is>
          <t>Reasonable合理</t>
        </is>
      </c>
      <c r="V42" s="164" t="inlineStr">
        <is>
          <t>Yes是</t>
        </is>
      </c>
      <c r="W42" s="212" t="n"/>
      <c r="X42" s="153" t="n"/>
    </row>
    <row r="43" ht="27.5" customHeight="1">
      <c r="P43" s="210" t="inlineStr">
        <is>
          <t>SPD03012_SPP_6-工艺路线配置表</t>
        </is>
      </c>
      <c r="Q43" s="162" t="inlineStr">
        <is>
          <t>截屏类电子文件【Electronic document】</t>
        </is>
      </c>
      <c r="S43" s="211" t="inlineStr">
        <is>
          <t>工序编码/名称Process Route ID/Name
工序数量Process Route Quantity</t>
        </is>
      </c>
      <c r="T43" s="164" t="inlineStr">
        <is>
          <t>N/A不适用</t>
        </is>
      </c>
      <c r="U43" s="164" t="inlineStr">
        <is>
          <t>Not selected未选</t>
        </is>
      </c>
      <c r="V43" s="164" t="inlineStr">
        <is>
          <t>N/A不适用</t>
        </is>
      </c>
      <c r="W43" s="212" t="n"/>
      <c r="X43" s="153" t="n"/>
    </row>
    <row r="44" ht="27.5" customHeight="1">
      <c r="B44" s="206" t="inlineStr">
        <is>
          <t>样本1</t>
        </is>
      </c>
      <c r="C44" s="207" t="n">
        <v>11000437</v>
      </c>
      <c r="D44" s="156" t="inlineStr">
        <is>
          <t>1100P00001</t>
        </is>
      </c>
      <c r="E44" s="157" t="inlineStr">
        <is>
          <t>折旧与摊销</t>
        </is>
      </c>
      <c r="F44" s="158">
        <f>'CO03'!E53</f>
        <v/>
      </c>
      <c r="G44" s="158">
        <f>'CO03'!F53</f>
        <v/>
      </c>
      <c r="H44" s="158">
        <f>'CO03'!G53</f>
        <v/>
      </c>
      <c r="I44" s="158">
        <f>KSBT!Z21</f>
        <v/>
      </c>
      <c r="J44" s="161">
        <f>L44*N44-F44</f>
        <v/>
      </c>
      <c r="K44" s="208">
        <f>H44-J44</f>
        <v/>
      </c>
      <c r="L44" s="157">
        <f>'CO03'!H53</f>
        <v/>
      </c>
      <c r="M44" s="157" t="inlineStr">
        <is>
          <t>不适用</t>
        </is>
      </c>
      <c r="N44" s="209">
        <f>'3611'!AB18</f>
        <v/>
      </c>
      <c r="O44" s="208">
        <f>N44-I44</f>
        <v/>
      </c>
      <c r="P44" s="210" t="inlineStr">
        <is>
          <t>SPD03012_SPP_1-制造费用费率配置表</t>
        </is>
      </c>
      <c r="Q44" s="162" t="inlineStr">
        <is>
          <t>截屏类电子文件【Electronic document】</t>
        </is>
      </c>
      <c r="R44" s="158">
        <f>L44</f>
        <v/>
      </c>
      <c r="S44" s="211" t="inlineStr">
        <is>
          <t>制造费用费率manufacturing overhead cost rate</t>
        </is>
      </c>
      <c r="T44" s="164" t="inlineStr">
        <is>
          <t>Agrees相符</t>
        </is>
      </c>
      <c r="U44" s="164" t="inlineStr">
        <is>
          <t>Reasonable合理</t>
        </is>
      </c>
      <c r="V44" s="164" t="inlineStr">
        <is>
          <t>Yes是</t>
        </is>
      </c>
      <c r="W44" s="212" t="n"/>
      <c r="X44" s="153" t="n"/>
    </row>
    <row r="45" ht="27.5" customHeight="1">
      <c r="P45" s="210" t="inlineStr">
        <is>
          <t>SPD03012_SPP_2-成本中心、成本要素、成本要素组对应关系配置表</t>
        </is>
      </c>
      <c r="Q45" s="162" t="inlineStr">
        <is>
          <t>截屏类电子文件【Electronic document】</t>
        </is>
      </c>
      <c r="S45" s="211" t="inlineStr">
        <is>
          <t>成本中心编码/名称Cost centres ID/Name
成本要素编码/名称cost elements ID/Name
成本要素组编码/名称cost element groups ID/Name</t>
        </is>
      </c>
      <c r="T45" s="164" t="inlineStr">
        <is>
          <t>N/A不适用</t>
        </is>
      </c>
      <c r="U45" s="164" t="inlineStr">
        <is>
          <t>Not selected未选</t>
        </is>
      </c>
      <c r="V45" s="164" t="inlineStr">
        <is>
          <t>N/A不适用</t>
        </is>
      </c>
      <c r="W45" s="212" t="n"/>
      <c r="X45" s="153" t="n"/>
    </row>
    <row r="46" ht="27.5" customHeight="1">
      <c r="P46" s="210" t="inlineStr">
        <is>
          <t>SPD03012_SPP_3-辅助生产费用分摊权重数配置表</t>
        </is>
      </c>
      <c r="Q46" s="162" t="inlineStr">
        <is>
          <t>截屏类电子文件【Electronic document】</t>
        </is>
      </c>
      <c r="S46" s="211" t="inlineStr">
        <is>
          <t>辅助生产费用分摊权重数Numbers of weights for the allocation of auxiliary production costs</t>
        </is>
      </c>
      <c r="T46" s="164" t="inlineStr">
        <is>
          <t>N/A不适用</t>
        </is>
      </c>
      <c r="U46" s="164" t="inlineStr">
        <is>
          <t>Not selected未选</t>
        </is>
      </c>
      <c r="V46" s="164" t="inlineStr">
        <is>
          <t>N/A不适用</t>
        </is>
      </c>
      <c r="W46" s="212" t="n"/>
      <c r="X46" s="153" t="n"/>
    </row>
    <row r="47" ht="27.5" customHeight="1">
      <c r="P47" s="210" t="inlineStr">
        <is>
          <t>SPD03012_SPP_4-实际定额工时配置表</t>
        </is>
      </c>
      <c r="Q47" s="162" t="inlineStr">
        <is>
          <t>截屏类电子文件【Electronic document】</t>
        </is>
      </c>
      <c r="S47" s="211" t="inlineStr">
        <is>
          <t>实际定额工时Actual rated hours</t>
        </is>
      </c>
      <c r="T47" s="164" t="inlineStr">
        <is>
          <t>Agrees相符</t>
        </is>
      </c>
      <c r="U47" s="164" t="inlineStr">
        <is>
          <t>Reasonable合理</t>
        </is>
      </c>
      <c r="V47" s="164" t="inlineStr">
        <is>
          <t>Yes是</t>
        </is>
      </c>
      <c r="W47" s="212" t="n"/>
      <c r="X47" s="153" t="n"/>
    </row>
    <row r="48" ht="27.5" customHeight="1">
      <c r="P48" s="210" t="inlineStr">
        <is>
          <t>SPD03012_SPP_5-&lt;CO03_成本分析&gt;表</t>
        </is>
      </c>
      <c r="Q48" s="162" t="inlineStr">
        <is>
          <t>清单类电子数据【Electronic data】</t>
        </is>
      </c>
      <c r="S48" s="211" t="inlineStr">
        <is>
          <t>完工数量Completed quantity
实际成本[“总的实际成本”]Actual cost ["total actual cost"]</t>
        </is>
      </c>
      <c r="T48" s="164" t="inlineStr">
        <is>
          <t>Agrees相符</t>
        </is>
      </c>
      <c r="U48" s="164" t="inlineStr">
        <is>
          <t>Reasonable合理</t>
        </is>
      </c>
      <c r="V48" s="164" t="inlineStr">
        <is>
          <t>Yes是</t>
        </is>
      </c>
      <c r="W48" s="212" t="n"/>
      <c r="X48" s="153" t="n"/>
    </row>
    <row r="49" ht="27.5" customHeight="1">
      <c r="P49" s="210" t="inlineStr">
        <is>
          <t>SPD03012_SPP_6-工艺路线配置表</t>
        </is>
      </c>
      <c r="Q49" s="162" t="inlineStr">
        <is>
          <t>截屏类电子文件【Electronic document】</t>
        </is>
      </c>
      <c r="S49" s="211" t="inlineStr">
        <is>
          <t>工序编码/名称Process Route ID/Name
工序数量Process Route Quantity</t>
        </is>
      </c>
      <c r="T49" s="164" t="inlineStr">
        <is>
          <t>N/A不适用</t>
        </is>
      </c>
      <c r="U49" s="164" t="inlineStr">
        <is>
          <t>Not selected未选</t>
        </is>
      </c>
      <c r="V49" s="164" t="inlineStr">
        <is>
          <t>N/A不适用</t>
        </is>
      </c>
      <c r="W49" s="212" t="n"/>
      <c r="X49" s="153" t="n"/>
    </row>
    <row r="50" ht="27.5" customHeight="1">
      <c r="B50" s="206" t="inlineStr">
        <is>
          <t>样本2</t>
        </is>
      </c>
      <c r="C50" s="207" t="n">
        <v>11000027</v>
      </c>
      <c r="D50" s="156" t="inlineStr">
        <is>
          <t>1100P00002</t>
        </is>
      </c>
      <c r="E50" s="157" t="inlineStr">
        <is>
          <t>直接人工</t>
        </is>
      </c>
      <c r="F50" s="158">
        <f>'CO03'!E111</f>
        <v/>
      </c>
      <c r="G50" s="158">
        <f>'CO03'!F111</f>
        <v/>
      </c>
      <c r="H50" s="158">
        <f>'CO03'!G111</f>
        <v/>
      </c>
      <c r="I50" s="158">
        <f>KSBT!Z69</f>
        <v/>
      </c>
      <c r="J50" s="161">
        <f>L50*N50-F50</f>
        <v/>
      </c>
      <c r="K50" s="208">
        <f>H50-J50</f>
        <v/>
      </c>
      <c r="L50" s="157">
        <f>'CO03'!H111</f>
        <v/>
      </c>
      <c r="M50" s="157" t="inlineStr">
        <is>
          <t>不适用</t>
        </is>
      </c>
      <c r="N50" s="209">
        <f>'3611'!AB71</f>
        <v/>
      </c>
      <c r="O50" s="208">
        <f>N50-I50</f>
        <v/>
      </c>
      <c r="P50" s="210" t="inlineStr">
        <is>
          <t>SPD03012_SPP_1-制造费用费率配置表</t>
        </is>
      </c>
      <c r="Q50" s="162" t="inlineStr">
        <is>
          <t>截屏类电子文件【Electronic document】</t>
        </is>
      </c>
      <c r="R50" s="158">
        <f>L50</f>
        <v/>
      </c>
      <c r="S50" s="211" t="inlineStr">
        <is>
          <t>制造费用费率manufacturing overhead cost rate</t>
        </is>
      </c>
      <c r="T50" s="164" t="inlineStr">
        <is>
          <t>Agrees相符</t>
        </is>
      </c>
      <c r="U50" s="164" t="inlineStr">
        <is>
          <t>Reasonable合理</t>
        </is>
      </c>
      <c r="V50" s="164" t="inlineStr">
        <is>
          <t>Yes是</t>
        </is>
      </c>
      <c r="W50" s="212" t="n"/>
      <c r="X50" s="153" t="n"/>
    </row>
    <row r="51" ht="27.5" customHeight="1">
      <c r="P51" s="210" t="inlineStr">
        <is>
          <t>SPD03012_SPP_2-成本中心、成本要素、成本要素组对应关系配置表</t>
        </is>
      </c>
      <c r="Q51" s="162" t="inlineStr">
        <is>
          <t>截屏类电子文件【Electronic document】</t>
        </is>
      </c>
      <c r="S51" s="211" t="inlineStr">
        <is>
          <t>成本中心编码/名称Cost centres ID/Name
成本要素编码/名称cost elements ID/Name
成本要素组编码/名称cost element groups ID/Name</t>
        </is>
      </c>
      <c r="T51" s="164" t="inlineStr">
        <is>
          <t>N/A不适用</t>
        </is>
      </c>
      <c r="U51" s="164" t="inlineStr">
        <is>
          <t>Not selected未选</t>
        </is>
      </c>
      <c r="V51" s="164" t="inlineStr">
        <is>
          <t>N/A不适用</t>
        </is>
      </c>
      <c r="W51" s="212" t="n"/>
      <c r="X51" s="153" t="n"/>
    </row>
    <row r="52" ht="27.5" customHeight="1">
      <c r="P52" s="210" t="inlineStr">
        <is>
          <t>SPD03012_SPP_3-辅助生产费用分摊权重数配置表</t>
        </is>
      </c>
      <c r="Q52" s="162" t="inlineStr">
        <is>
          <t>截屏类电子文件【Electronic document】</t>
        </is>
      </c>
      <c r="S52" s="211" t="inlineStr">
        <is>
          <t>辅助生产费用分摊权重数Numbers of weights for the allocation of auxiliary production costs</t>
        </is>
      </c>
      <c r="T52" s="164" t="inlineStr">
        <is>
          <t>N/A不适用</t>
        </is>
      </c>
      <c r="U52" s="164" t="inlineStr">
        <is>
          <t>Not selected未选</t>
        </is>
      </c>
      <c r="V52" s="164" t="inlineStr">
        <is>
          <t>N/A不适用</t>
        </is>
      </c>
      <c r="W52" s="212" t="n"/>
      <c r="X52" s="153" t="n"/>
    </row>
    <row r="53" ht="27.5" customHeight="1">
      <c r="P53" s="210" t="inlineStr">
        <is>
          <t>SPD03012_SPP_4-实际定额工时配置表</t>
        </is>
      </c>
      <c r="Q53" s="162" t="inlineStr">
        <is>
          <t>截屏类电子文件【Electronic document】</t>
        </is>
      </c>
      <c r="S53" s="211" t="inlineStr">
        <is>
          <t>实际定额工时Actual rated hours</t>
        </is>
      </c>
      <c r="T53" s="164" t="inlineStr">
        <is>
          <t>Agrees相符</t>
        </is>
      </c>
      <c r="U53" s="164" t="inlineStr">
        <is>
          <t>Reasonable合理</t>
        </is>
      </c>
      <c r="V53" s="164" t="inlineStr">
        <is>
          <t>Yes是</t>
        </is>
      </c>
      <c r="W53" s="212" t="n"/>
      <c r="X53" s="153" t="n"/>
    </row>
    <row r="54" ht="27.5" customHeight="1">
      <c r="P54" s="210" t="inlineStr">
        <is>
          <t>SPD03012_SPP_5-&lt;CO03_成本分析&gt;表</t>
        </is>
      </c>
      <c r="Q54" s="162" t="inlineStr">
        <is>
          <t>清单类电子数据【Electronic data】</t>
        </is>
      </c>
      <c r="S54" s="211" t="inlineStr">
        <is>
          <t>完工数量Completed quantity
实际成本[“总的实际成本”]Actual cost ["total actual cost"]</t>
        </is>
      </c>
      <c r="T54" s="164" t="inlineStr">
        <is>
          <t>Agrees相符</t>
        </is>
      </c>
      <c r="U54" s="164" t="inlineStr">
        <is>
          <t>Reasonable合理</t>
        </is>
      </c>
      <c r="V54" s="164" t="inlineStr">
        <is>
          <t>Yes是</t>
        </is>
      </c>
      <c r="W54" s="212" t="n"/>
      <c r="X54" s="153" t="n"/>
    </row>
    <row r="55" ht="27.5" customHeight="1">
      <c r="P55" s="210" t="inlineStr">
        <is>
          <t>SPD03012_SPP_6-工艺路线配置表</t>
        </is>
      </c>
      <c r="Q55" s="162" t="inlineStr">
        <is>
          <t>截屏类电子文件【Electronic document】</t>
        </is>
      </c>
      <c r="S55" s="211" t="inlineStr">
        <is>
          <t>工序编码/名称Process Route ID/Name
工序数量Process Route Quantity</t>
        </is>
      </c>
      <c r="T55" s="164" t="inlineStr">
        <is>
          <t>N/A不适用</t>
        </is>
      </c>
      <c r="U55" s="164" t="inlineStr">
        <is>
          <t>Not selected未选</t>
        </is>
      </c>
      <c r="V55" s="164" t="inlineStr">
        <is>
          <t>N/A不适用</t>
        </is>
      </c>
      <c r="W55" s="212" t="n"/>
      <c r="X55" s="153" t="n"/>
    </row>
    <row r="56" ht="27.5" customHeight="1">
      <c r="B56" s="206" t="inlineStr">
        <is>
          <t>样本2</t>
        </is>
      </c>
      <c r="C56" s="207" t="n">
        <v>11000027</v>
      </c>
      <c r="D56" s="156" t="inlineStr">
        <is>
          <t>1100P00002</t>
        </is>
      </c>
      <c r="E56" s="157" t="inlineStr">
        <is>
          <t>折旧与摊销</t>
        </is>
      </c>
      <c r="F56" s="158">
        <f>'CO03'!E113</f>
        <v/>
      </c>
      <c r="G56" s="158">
        <f>'CO03'!F113</f>
        <v/>
      </c>
      <c r="H56" s="158">
        <f>'CO03'!G113</f>
        <v/>
      </c>
      <c r="I56" s="158">
        <f>KSBT!Z71</f>
        <v/>
      </c>
      <c r="J56" s="161">
        <f>L56*N56-F56</f>
        <v/>
      </c>
      <c r="K56" s="208">
        <f>H56-J56</f>
        <v/>
      </c>
      <c r="L56" s="157">
        <f>L50</f>
        <v/>
      </c>
      <c r="M56" s="157" t="inlineStr">
        <is>
          <t>不适用</t>
        </is>
      </c>
      <c r="N56" s="209">
        <f>'3611'!AB73</f>
        <v/>
      </c>
      <c r="O56" s="208">
        <f>N56-I56</f>
        <v/>
      </c>
      <c r="P56" s="210" t="inlineStr">
        <is>
          <t>SPD03012_SPP_1-制造费用费率配置表</t>
        </is>
      </c>
      <c r="Q56" s="162" t="inlineStr">
        <is>
          <t>截屏类电子文件【Electronic document】</t>
        </is>
      </c>
      <c r="R56" s="158">
        <f>L56</f>
        <v/>
      </c>
      <c r="S56" s="211" t="inlineStr">
        <is>
          <t>制造费用费率manufacturing overhead cost rate</t>
        </is>
      </c>
      <c r="T56" s="164" t="inlineStr">
        <is>
          <t>Agrees相符</t>
        </is>
      </c>
      <c r="U56" s="164" t="inlineStr">
        <is>
          <t>Reasonable合理</t>
        </is>
      </c>
      <c r="V56" s="164" t="inlineStr">
        <is>
          <t>Yes是</t>
        </is>
      </c>
      <c r="W56" s="212" t="n"/>
      <c r="X56" s="153" t="n"/>
    </row>
    <row r="57" ht="27.5" customHeight="1">
      <c r="P57" s="210" t="inlineStr">
        <is>
          <t>SPD03012_SPP_2-成本中心、成本要素、成本要素组对应关系配置表</t>
        </is>
      </c>
      <c r="Q57" s="162" t="inlineStr">
        <is>
          <t>截屏类电子文件【Electronic document】</t>
        </is>
      </c>
      <c r="S57" s="211" t="inlineStr">
        <is>
          <t>成本中心编码/名称Cost centres ID/Name
成本要素编码/名称cost elements ID/Name
成本要素组编码/名称cost element groups ID/Name</t>
        </is>
      </c>
      <c r="T57" s="164" t="inlineStr">
        <is>
          <t>N/A不适用</t>
        </is>
      </c>
      <c r="U57" s="164" t="inlineStr">
        <is>
          <t>Not selected未选</t>
        </is>
      </c>
      <c r="V57" s="164" t="inlineStr">
        <is>
          <t>N/A不适用</t>
        </is>
      </c>
      <c r="W57" s="212" t="n"/>
      <c r="X57" s="153" t="n"/>
    </row>
    <row r="58" ht="27.5" customHeight="1">
      <c r="P58" s="210" t="inlineStr">
        <is>
          <t>SPD03012_SPP_3-辅助生产费用分摊权重数配置表</t>
        </is>
      </c>
      <c r="Q58" s="162" t="inlineStr">
        <is>
          <t>截屏类电子文件【Electronic document】</t>
        </is>
      </c>
      <c r="S58" s="211" t="inlineStr">
        <is>
          <t>辅助生产费用分摊权重数Numbers of weights for the allocation of auxiliary production costs</t>
        </is>
      </c>
      <c r="T58" s="164" t="inlineStr">
        <is>
          <t>N/A不适用</t>
        </is>
      </c>
      <c r="U58" s="164" t="inlineStr">
        <is>
          <t>Not selected未选</t>
        </is>
      </c>
      <c r="V58" s="164" t="inlineStr">
        <is>
          <t>N/A不适用</t>
        </is>
      </c>
      <c r="W58" s="212" t="n"/>
      <c r="X58" s="153" t="n"/>
    </row>
    <row r="59" ht="27.5" customHeight="1">
      <c r="P59" s="210" t="inlineStr">
        <is>
          <t>SPD03012_SPP_4-实际定额工时配置表</t>
        </is>
      </c>
      <c r="Q59" s="162" t="inlineStr">
        <is>
          <t>截屏类电子文件【Electronic document】</t>
        </is>
      </c>
      <c r="S59" s="211" t="inlineStr">
        <is>
          <t>实际定额工时Actual rated hours</t>
        </is>
      </c>
      <c r="T59" s="164" t="inlineStr">
        <is>
          <t>Agrees相符</t>
        </is>
      </c>
      <c r="U59" s="164" t="inlineStr">
        <is>
          <t>Reasonable合理</t>
        </is>
      </c>
      <c r="V59" s="164" t="inlineStr">
        <is>
          <t>Yes是</t>
        </is>
      </c>
      <c r="W59" s="212" t="n"/>
      <c r="X59" s="153" t="n"/>
    </row>
    <row r="60" ht="27.5" customHeight="1">
      <c r="P60" s="210" t="inlineStr">
        <is>
          <t>SPD03012_SPP_5-&lt;CO03_成本分析&gt;表</t>
        </is>
      </c>
      <c r="Q60" s="162" t="inlineStr">
        <is>
          <t>清单类电子数据【Electronic data】</t>
        </is>
      </c>
      <c r="S60" s="211" t="inlineStr">
        <is>
          <t>完工数量Completed quantity
实际成本[“总的实际成本”]Actual cost ["total actual cost"]</t>
        </is>
      </c>
      <c r="T60" s="164" t="inlineStr">
        <is>
          <t>Agrees相符</t>
        </is>
      </c>
      <c r="U60" s="164" t="inlineStr">
        <is>
          <t>Reasonable合理</t>
        </is>
      </c>
      <c r="V60" s="164" t="inlineStr">
        <is>
          <t>Yes是</t>
        </is>
      </c>
      <c r="W60" s="212" t="n"/>
      <c r="X60" s="153" t="n"/>
    </row>
    <row r="61" ht="27.5" customHeight="1">
      <c r="P61" s="210" t="inlineStr">
        <is>
          <t>SPD03012_SPP_6-工艺路线配置表</t>
        </is>
      </c>
      <c r="Q61" s="162" t="inlineStr">
        <is>
          <t>截屏类电子文件【Electronic document】</t>
        </is>
      </c>
      <c r="S61" s="211" t="inlineStr">
        <is>
          <t>工序编码/名称Process Route ID/Name
工序数量Process Route Quantity</t>
        </is>
      </c>
      <c r="T61" s="164" t="inlineStr">
        <is>
          <t>N/A不适用</t>
        </is>
      </c>
      <c r="U61" s="164" t="inlineStr">
        <is>
          <t>Not selected未选</t>
        </is>
      </c>
      <c r="V61" s="164" t="inlineStr">
        <is>
          <t>N/A不适用</t>
        </is>
      </c>
      <c r="W61" s="212" t="n"/>
      <c r="X61" s="153" t="n"/>
    </row>
    <row r="62" ht="25" customHeight="1">
      <c r="B62" s="206" t="inlineStr">
        <is>
          <t>样本3</t>
        </is>
      </c>
      <c r="C62" s="207" t="n">
        <v>11001846</v>
      </c>
      <c r="D62" s="156" t="inlineStr">
        <is>
          <t>1100P00002</t>
        </is>
      </c>
      <c r="E62" s="157" t="inlineStr">
        <is>
          <t>直接人工</t>
        </is>
      </c>
      <c r="F62" s="158">
        <f>'CO03'!E170</f>
        <v/>
      </c>
      <c r="G62" s="158">
        <f>'CO03'!F170</f>
        <v/>
      </c>
      <c r="H62" s="158">
        <f>'CO03'!G170</f>
        <v/>
      </c>
      <c r="I62" s="158">
        <f>KSBT!Z117</f>
        <v/>
      </c>
      <c r="J62" s="161">
        <f>L62*I62-F62</f>
        <v/>
      </c>
      <c r="K62" s="208">
        <f>H62-J62</f>
        <v/>
      </c>
      <c r="L62" s="157">
        <f>'CO03'!H170</f>
        <v/>
      </c>
      <c r="M62" s="157" t="inlineStr">
        <is>
          <t>不适用</t>
        </is>
      </c>
      <c r="N62" s="209">
        <f>'3611'!AB163</f>
        <v/>
      </c>
      <c r="O62" s="208">
        <f>N62-I62</f>
        <v/>
      </c>
      <c r="P62" s="210" t="inlineStr">
        <is>
          <t>SPD03012_SPP_1-制造费用费率配置表</t>
        </is>
      </c>
      <c r="Q62" s="162" t="inlineStr">
        <is>
          <t>截屏类电子文件【Electronic document】</t>
        </is>
      </c>
      <c r="R62" s="158">
        <f>L62</f>
        <v/>
      </c>
      <c r="S62" s="211" t="inlineStr">
        <is>
          <t>制造费用费率manufacturing overhead cost rate</t>
        </is>
      </c>
      <c r="T62" s="164" t="inlineStr">
        <is>
          <t>Agrees相符</t>
        </is>
      </c>
      <c r="U62" s="164" t="inlineStr">
        <is>
          <t>Reasonable合理</t>
        </is>
      </c>
      <c r="V62" s="164" t="inlineStr">
        <is>
          <t>Yes是</t>
        </is>
      </c>
      <c r="W62" s="212" t="n"/>
      <c r="X62" s="153" t="n"/>
    </row>
    <row r="63" ht="75" customHeight="1">
      <c r="P63" s="210" t="inlineStr">
        <is>
          <t>SPD03012_SPP_2-成本中心、成本要素、成本要素组对应关系配置表</t>
        </is>
      </c>
      <c r="Q63" s="162" t="inlineStr">
        <is>
          <t>截屏类电子文件【Electronic document】</t>
        </is>
      </c>
      <c r="S63" s="211" t="inlineStr">
        <is>
          <t>成本中心编码/名称Cost centres ID/Name
成本要素编码/名称cost elements ID/Name
成本要素组编码/名称cost element groups ID/Name</t>
        </is>
      </c>
      <c r="T63" s="164" t="inlineStr">
        <is>
          <t>N/A不适用</t>
        </is>
      </c>
      <c r="U63" s="164" t="inlineStr">
        <is>
          <t>Not selected未选</t>
        </is>
      </c>
      <c r="V63" s="164" t="inlineStr">
        <is>
          <t>N/A不适用</t>
        </is>
      </c>
      <c r="W63" s="212" t="n"/>
      <c r="X63" s="153" t="n"/>
    </row>
    <row r="64" ht="37.5" customHeight="1">
      <c r="P64" s="210" t="inlineStr">
        <is>
          <t>SPD03012_SPP_3-辅助生产费用分摊权重数配置表</t>
        </is>
      </c>
      <c r="Q64" s="162" t="inlineStr">
        <is>
          <t>截屏类电子文件【Electronic document】</t>
        </is>
      </c>
      <c r="S64" s="211" t="inlineStr">
        <is>
          <t>辅助生产费用分摊权重数Numbers of weights for the allocation of auxiliary production costs</t>
        </is>
      </c>
      <c r="T64" s="164" t="inlineStr">
        <is>
          <t>N/A不适用</t>
        </is>
      </c>
      <c r="U64" s="164" t="inlineStr">
        <is>
          <t>Not selected未选</t>
        </is>
      </c>
      <c r="V64" s="164" t="inlineStr">
        <is>
          <t>N/A不适用</t>
        </is>
      </c>
      <c r="W64" s="212" t="n"/>
      <c r="X64" s="153" t="n"/>
    </row>
    <row r="65" ht="25" customHeight="1">
      <c r="P65" s="210" t="inlineStr">
        <is>
          <t>SPD03012_SPP_4-实际定额工时配置表</t>
        </is>
      </c>
      <c r="Q65" s="162" t="inlineStr">
        <is>
          <t>截屏类电子文件【Electronic document】</t>
        </is>
      </c>
      <c r="S65" s="211" t="inlineStr">
        <is>
          <t>实际定额工时Actual rated hours</t>
        </is>
      </c>
      <c r="T65" s="164" t="inlineStr">
        <is>
          <t>Agrees相符</t>
        </is>
      </c>
      <c r="U65" s="164" t="inlineStr">
        <is>
          <t>Reasonable合理</t>
        </is>
      </c>
      <c r="V65" s="164" t="inlineStr">
        <is>
          <t>Yes是</t>
        </is>
      </c>
      <c r="W65" s="212" t="n"/>
      <c r="X65" s="153" t="n"/>
    </row>
    <row r="66" ht="37.5" customHeight="1">
      <c r="P66" s="210" t="inlineStr">
        <is>
          <t>SPD03012_SPP_5-&lt;CO03_成本分析&gt;表</t>
        </is>
      </c>
      <c r="Q66" s="162" t="inlineStr">
        <is>
          <t>清单类电子数据【Electronic data】</t>
        </is>
      </c>
      <c r="S66" s="211" t="inlineStr">
        <is>
          <t>完工数量Completed quantity
实际成本[“总的实际成本”]Actual cost ["total actual cost"]</t>
        </is>
      </c>
      <c r="T66" s="164" t="inlineStr">
        <is>
          <t>Agrees相符</t>
        </is>
      </c>
      <c r="U66" s="164" t="inlineStr">
        <is>
          <t>Reasonable合理</t>
        </is>
      </c>
      <c r="V66" s="164" t="inlineStr">
        <is>
          <t>Yes是</t>
        </is>
      </c>
      <c r="W66" s="212" t="n"/>
      <c r="X66" s="153" t="n"/>
    </row>
    <row r="67" ht="37.5" customHeight="1">
      <c r="P67" s="210" t="inlineStr">
        <is>
          <t>SPD03012_SPP_6-工艺路线配置表</t>
        </is>
      </c>
      <c r="Q67" s="162" t="inlineStr">
        <is>
          <t>截屏类电子文件【Electronic document】</t>
        </is>
      </c>
      <c r="S67" s="211" t="inlineStr">
        <is>
          <t>工序编码/名称Process Route ID/Name
工序数量Process Route Quantity</t>
        </is>
      </c>
      <c r="T67" s="164" t="inlineStr">
        <is>
          <t>N/A不适用</t>
        </is>
      </c>
      <c r="U67" s="164" t="inlineStr">
        <is>
          <t>Not selected未选</t>
        </is>
      </c>
      <c r="V67" s="164" t="inlineStr">
        <is>
          <t>N/A不适用</t>
        </is>
      </c>
      <c r="W67" s="212" t="n"/>
      <c r="X67" s="153" t="n"/>
    </row>
    <row r="68" ht="25" customHeight="1">
      <c r="B68" s="206" t="inlineStr">
        <is>
          <t>样本3</t>
        </is>
      </c>
      <c r="C68" s="207" t="n">
        <v>11001846</v>
      </c>
      <c r="D68" s="156" t="inlineStr">
        <is>
          <t>1100P00002</t>
        </is>
      </c>
      <c r="E68" s="157" t="inlineStr">
        <is>
          <t>折旧与摊销</t>
        </is>
      </c>
      <c r="F68" s="158">
        <f>'CO03'!E172</f>
        <v/>
      </c>
      <c r="G68" s="158">
        <f>'CO03'!F172</f>
        <v/>
      </c>
      <c r="H68" s="158">
        <f>'CO03'!G172</f>
        <v/>
      </c>
      <c r="I68" s="158">
        <f>KSBT!Z119</f>
        <v/>
      </c>
      <c r="J68" s="161">
        <f>L68*I68-F68</f>
        <v/>
      </c>
      <c r="K68" s="208">
        <f>H68-J68</f>
        <v/>
      </c>
      <c r="L68" s="157">
        <f>'CO03'!H172</f>
        <v/>
      </c>
      <c r="M68" s="157" t="inlineStr">
        <is>
          <t>不适用</t>
        </is>
      </c>
      <c r="N68" s="209">
        <f>'3611'!AB165</f>
        <v/>
      </c>
      <c r="O68" s="208">
        <f>N68-I68</f>
        <v/>
      </c>
      <c r="P68" s="210" t="inlineStr">
        <is>
          <t>SPD03012_SPP_1-制造费用费率配置表</t>
        </is>
      </c>
      <c r="Q68" s="162" t="inlineStr">
        <is>
          <t>截屏类电子文件【Electronic document】</t>
        </is>
      </c>
      <c r="R68" s="158">
        <f>L68</f>
        <v/>
      </c>
      <c r="S68" s="211" t="inlineStr">
        <is>
          <t>制造费用费率manufacturing overhead cost rate</t>
        </is>
      </c>
      <c r="T68" s="164" t="inlineStr">
        <is>
          <t>Agrees相符</t>
        </is>
      </c>
      <c r="U68" s="164" t="inlineStr">
        <is>
          <t>Reasonable合理</t>
        </is>
      </c>
      <c r="V68" s="164" t="inlineStr">
        <is>
          <t>Yes是</t>
        </is>
      </c>
      <c r="W68" s="212" t="n"/>
      <c r="X68" s="153" t="n"/>
    </row>
    <row r="69" ht="75" customHeight="1">
      <c r="P69" s="210" t="inlineStr">
        <is>
          <t>SPD03012_SPP_2-成本中心、成本要素、成本要素组对应关系配置表</t>
        </is>
      </c>
      <c r="Q69" s="162" t="inlineStr">
        <is>
          <t>截屏类电子文件【Electronic document】</t>
        </is>
      </c>
      <c r="S69" s="211" t="inlineStr">
        <is>
          <t>成本中心编码/名称Cost centres ID/Name
成本要素编码/名称cost elements ID/Name
成本要素组编码/名称cost element groups ID/Name</t>
        </is>
      </c>
      <c r="T69" s="164" t="inlineStr">
        <is>
          <t>N/A不适用</t>
        </is>
      </c>
      <c r="U69" s="164" t="inlineStr">
        <is>
          <t>Not selected未选</t>
        </is>
      </c>
      <c r="V69" s="164" t="inlineStr">
        <is>
          <t>N/A不适用</t>
        </is>
      </c>
      <c r="W69" s="212" t="n"/>
      <c r="X69" s="153" t="n"/>
    </row>
    <row r="70" ht="37.5" customHeight="1">
      <c r="P70" s="210" t="inlineStr">
        <is>
          <t>SPD03012_SPP_3-辅助生产费用分摊权重数配置表</t>
        </is>
      </c>
      <c r="Q70" s="162" t="inlineStr">
        <is>
          <t>截屏类电子文件【Electronic document】</t>
        </is>
      </c>
      <c r="S70" s="211" t="inlineStr">
        <is>
          <t>辅助生产费用分摊权重数Numbers of weights for the allocation of auxiliary production costs</t>
        </is>
      </c>
      <c r="T70" s="164" t="inlineStr">
        <is>
          <t>N/A不适用</t>
        </is>
      </c>
      <c r="U70" s="164" t="inlineStr">
        <is>
          <t>Not selected未选</t>
        </is>
      </c>
      <c r="V70" s="164" t="inlineStr">
        <is>
          <t>N/A不适用</t>
        </is>
      </c>
      <c r="W70" s="212" t="n"/>
      <c r="X70" s="153" t="n"/>
    </row>
    <row r="71" ht="25" customHeight="1">
      <c r="P71" s="210" t="inlineStr">
        <is>
          <t>SPD03012_SPP_4-实际定额工时配置表</t>
        </is>
      </c>
      <c r="Q71" s="162" t="inlineStr">
        <is>
          <t>截屏类电子文件【Electronic document】</t>
        </is>
      </c>
      <c r="S71" s="211" t="inlineStr">
        <is>
          <t>实际定额工时Actual rated hours</t>
        </is>
      </c>
      <c r="T71" s="164" t="inlineStr">
        <is>
          <t>Agrees相符</t>
        </is>
      </c>
      <c r="U71" s="164" t="inlineStr">
        <is>
          <t>Reasonable合理</t>
        </is>
      </c>
      <c r="V71" s="164" t="inlineStr">
        <is>
          <t>Yes是</t>
        </is>
      </c>
      <c r="W71" s="212" t="n"/>
      <c r="X71" s="153" t="n"/>
    </row>
    <row r="72" ht="37.5" customHeight="1">
      <c r="P72" s="210" t="inlineStr">
        <is>
          <t>SPD03012_SPP_5-&lt;CO03_成本分析&gt;表</t>
        </is>
      </c>
      <c r="Q72" s="162" t="inlineStr">
        <is>
          <t>清单类电子数据【Electronic data】</t>
        </is>
      </c>
      <c r="S72" s="211" t="inlineStr">
        <is>
          <t>完工数量Completed quantity
实际成本[“总的实际成本”]Actual cost ["total actual cost"]</t>
        </is>
      </c>
      <c r="T72" s="164" t="inlineStr">
        <is>
          <t>Agrees相符</t>
        </is>
      </c>
      <c r="U72" s="164" t="inlineStr">
        <is>
          <t>Reasonable合理</t>
        </is>
      </c>
      <c r="V72" s="164" t="inlineStr">
        <is>
          <t>Yes是</t>
        </is>
      </c>
      <c r="W72" s="212" t="n"/>
      <c r="X72" s="153" t="n"/>
    </row>
    <row r="73" ht="37.5" customHeight="1">
      <c r="P73" s="210" t="inlineStr">
        <is>
          <t>SPD03012_SPP_6-工艺路线配置表</t>
        </is>
      </c>
      <c r="Q73" s="162" t="inlineStr">
        <is>
          <t>截屏类电子文件【Electronic document】</t>
        </is>
      </c>
      <c r="S73" s="211" t="inlineStr">
        <is>
          <t>工序编码/名称Process Route ID/Name
工序数量Process Route Quantity</t>
        </is>
      </c>
      <c r="T73" s="164" t="inlineStr">
        <is>
          <t>N/A不适用</t>
        </is>
      </c>
      <c r="U73" s="164" t="inlineStr">
        <is>
          <t>Not selected未选</t>
        </is>
      </c>
      <c r="V73" s="164" t="inlineStr">
        <is>
          <t>N/A不适用</t>
        </is>
      </c>
      <c r="W73" s="212" t="n"/>
      <c r="X73" s="153" t="n"/>
    </row>
    <row r="74" ht="25" customHeight="1">
      <c r="B74" s="206" t="inlineStr">
        <is>
          <t>样本4</t>
        </is>
      </c>
      <c r="C74" s="207" t="n">
        <v>11002963</v>
      </c>
      <c r="D74" s="156" t="inlineStr">
        <is>
          <t>1100P00002</t>
        </is>
      </c>
      <c r="E74" s="157" t="inlineStr">
        <is>
          <t>直接人工</t>
        </is>
      </c>
      <c r="F74" s="158">
        <f>'CO03'!E230</f>
        <v/>
      </c>
      <c r="G74" s="158">
        <f>'CO03'!F230</f>
        <v/>
      </c>
      <c r="H74" s="158">
        <f>'CO03'!G230</f>
        <v/>
      </c>
      <c r="I74" s="158">
        <f>KSBT!Z169</f>
        <v/>
      </c>
      <c r="J74" s="161">
        <f>L74*I74-F74</f>
        <v/>
      </c>
      <c r="K74" s="208">
        <f>H74-J74</f>
        <v/>
      </c>
      <c r="L74" s="157">
        <f>'CO03'!H230</f>
        <v/>
      </c>
      <c r="M74" s="157" t="inlineStr">
        <is>
          <t>不适用</t>
        </is>
      </c>
      <c r="N74" s="209">
        <f>'3611'!AB259</f>
        <v/>
      </c>
      <c r="O74" s="208">
        <f>N74-I74</f>
        <v/>
      </c>
      <c r="P74" s="210" t="inlineStr">
        <is>
          <t>SPD03012_SPP_1-制造费用费率配置表</t>
        </is>
      </c>
      <c r="Q74" s="162" t="inlineStr">
        <is>
          <t>截屏类电子文件【Electronic document】</t>
        </is>
      </c>
      <c r="R74" s="158">
        <f>L74</f>
        <v/>
      </c>
      <c r="S74" s="211" t="inlineStr">
        <is>
          <t>制造费用费率manufacturing overhead cost rate</t>
        </is>
      </c>
      <c r="T74" s="164" t="inlineStr">
        <is>
          <t>Agrees相符</t>
        </is>
      </c>
      <c r="U74" s="164" t="inlineStr">
        <is>
          <t>Reasonable合理</t>
        </is>
      </c>
      <c r="V74" s="164" t="inlineStr">
        <is>
          <t>Yes是</t>
        </is>
      </c>
      <c r="W74" s="212" t="n"/>
      <c r="X74" s="153" t="n"/>
    </row>
    <row r="75" ht="75" customHeight="1">
      <c r="P75" s="210" t="inlineStr">
        <is>
          <t>SPD03012_SPP_2-成本中心、成本要素、成本要素组对应关系配置表</t>
        </is>
      </c>
      <c r="Q75" s="162" t="inlineStr">
        <is>
          <t>截屏类电子文件【Electronic document】</t>
        </is>
      </c>
      <c r="S75" s="211" t="inlineStr">
        <is>
          <t>成本中心编码/名称Cost centres ID/Name
成本要素编码/名称cost elements ID/Name
成本要素组编码/名称cost element groups ID/Name</t>
        </is>
      </c>
      <c r="T75" s="164" t="inlineStr">
        <is>
          <t>N/A不适用</t>
        </is>
      </c>
      <c r="U75" s="164" t="inlineStr">
        <is>
          <t>Not selected未选</t>
        </is>
      </c>
      <c r="V75" s="164" t="inlineStr">
        <is>
          <t>N/A不适用</t>
        </is>
      </c>
      <c r="W75" s="212" t="n"/>
      <c r="X75" s="153" t="n"/>
    </row>
    <row r="76" ht="37.5" customHeight="1">
      <c r="P76" s="210" t="inlineStr">
        <is>
          <t>SPD03012_SPP_3-辅助生产费用分摊权重数配置表</t>
        </is>
      </c>
      <c r="Q76" s="162" t="inlineStr">
        <is>
          <t>截屏类电子文件【Electronic document】</t>
        </is>
      </c>
      <c r="S76" s="211" t="inlineStr">
        <is>
          <t>辅助生产费用分摊权重数Numbers of weights for the allocation of auxiliary production costs</t>
        </is>
      </c>
      <c r="T76" s="164" t="inlineStr">
        <is>
          <t>N/A不适用</t>
        </is>
      </c>
      <c r="U76" s="164" t="inlineStr">
        <is>
          <t>Not selected未选</t>
        </is>
      </c>
      <c r="V76" s="164" t="inlineStr">
        <is>
          <t>N/A不适用</t>
        </is>
      </c>
      <c r="W76" s="212" t="n"/>
      <c r="X76" s="153" t="n"/>
    </row>
    <row r="77" ht="25" customHeight="1">
      <c r="P77" s="210" t="inlineStr">
        <is>
          <t>SPD03012_SPP_4-实际定额工时配置表</t>
        </is>
      </c>
      <c r="Q77" s="162" t="inlineStr">
        <is>
          <t>截屏类电子文件【Electronic document】</t>
        </is>
      </c>
      <c r="S77" s="211" t="inlineStr">
        <is>
          <t>实际定额工时Actual rated hours</t>
        </is>
      </c>
      <c r="T77" s="164" t="inlineStr">
        <is>
          <t>Agrees相符</t>
        </is>
      </c>
      <c r="U77" s="164" t="inlineStr">
        <is>
          <t>Reasonable合理</t>
        </is>
      </c>
      <c r="V77" s="164" t="inlineStr">
        <is>
          <t>Yes是</t>
        </is>
      </c>
      <c r="W77" s="212" t="n"/>
      <c r="X77" s="153" t="n"/>
    </row>
    <row r="78" ht="37.5" customHeight="1">
      <c r="P78" s="210" t="inlineStr">
        <is>
          <t>SPD03012_SPP_5-&lt;CO03_成本分析&gt;表</t>
        </is>
      </c>
      <c r="Q78" s="162" t="inlineStr">
        <is>
          <t>清单类电子数据【Electronic data】</t>
        </is>
      </c>
      <c r="S78" s="211" t="inlineStr">
        <is>
          <t>完工数量Completed quantity
实际成本[“总的实际成本”]Actual cost ["total actual cost"]</t>
        </is>
      </c>
      <c r="T78" s="164" t="inlineStr">
        <is>
          <t>Agrees相符</t>
        </is>
      </c>
      <c r="U78" s="164" t="inlineStr">
        <is>
          <t>Reasonable合理</t>
        </is>
      </c>
      <c r="V78" s="164" t="inlineStr">
        <is>
          <t>Yes是</t>
        </is>
      </c>
      <c r="W78" s="212" t="n"/>
      <c r="X78" s="153" t="n"/>
    </row>
    <row r="79" ht="37.5" customHeight="1">
      <c r="P79" s="210" t="inlineStr">
        <is>
          <t>SPD03012_SPP_6-工艺路线配置表</t>
        </is>
      </c>
      <c r="Q79" s="162" t="inlineStr">
        <is>
          <t>截屏类电子文件【Electronic document】</t>
        </is>
      </c>
      <c r="S79" s="211" t="inlineStr">
        <is>
          <t>工序编码/名称Process Route ID/Name
工序数量Process Route Quantity</t>
        </is>
      </c>
      <c r="T79" s="164" t="inlineStr">
        <is>
          <t>N/A不适用</t>
        </is>
      </c>
      <c r="U79" s="164" t="inlineStr">
        <is>
          <t>Not selected未选</t>
        </is>
      </c>
      <c r="V79" s="164" t="inlineStr">
        <is>
          <t>N/A不适用</t>
        </is>
      </c>
      <c r="W79" s="212" t="n"/>
      <c r="X79" s="153" t="n"/>
    </row>
    <row r="80" ht="25" customHeight="1">
      <c r="B80" s="206" t="inlineStr">
        <is>
          <t>样本4</t>
        </is>
      </c>
      <c r="C80" s="207" t="n">
        <v>11002963</v>
      </c>
      <c r="D80" s="156" t="inlineStr">
        <is>
          <t>1100P00002</t>
        </is>
      </c>
      <c r="E80" s="157" t="inlineStr">
        <is>
          <t>折旧与摊销</t>
        </is>
      </c>
      <c r="F80" s="158">
        <f>'CO03'!E232</f>
        <v/>
      </c>
      <c r="G80" s="158">
        <f>'CO03'!F232</f>
        <v/>
      </c>
      <c r="H80" s="158">
        <f>'CO03'!G232</f>
        <v/>
      </c>
      <c r="I80" s="158">
        <f>KSBT!Z171</f>
        <v/>
      </c>
      <c r="J80" s="161">
        <f>L80*I80-F80</f>
        <v/>
      </c>
      <c r="K80" s="208">
        <f>H80-J80</f>
        <v/>
      </c>
      <c r="L80" s="157">
        <f>'CO03'!H232</f>
        <v/>
      </c>
      <c r="M80" s="157" t="inlineStr">
        <is>
          <t>不适用</t>
        </is>
      </c>
      <c r="N80" s="209">
        <f>'3611'!AB261</f>
        <v/>
      </c>
      <c r="O80" s="208">
        <f>N80-I80</f>
        <v/>
      </c>
      <c r="P80" s="210" t="inlineStr">
        <is>
          <t>SPD03012_SPP_1-制造费用费率配置表</t>
        </is>
      </c>
      <c r="Q80" s="162" t="inlineStr">
        <is>
          <t>截屏类电子文件【Electronic document】</t>
        </is>
      </c>
      <c r="R80" s="158">
        <f>L80</f>
        <v/>
      </c>
      <c r="S80" s="211" t="inlineStr">
        <is>
          <t>制造费用费率manufacturing overhead cost rate</t>
        </is>
      </c>
      <c r="T80" s="164" t="inlineStr">
        <is>
          <t>Agrees相符</t>
        </is>
      </c>
      <c r="U80" s="164" t="inlineStr">
        <is>
          <t>Reasonable合理</t>
        </is>
      </c>
      <c r="V80" s="164" t="inlineStr">
        <is>
          <t>Yes是</t>
        </is>
      </c>
      <c r="W80" s="212" t="n"/>
      <c r="X80" s="153" t="n"/>
    </row>
    <row r="81" ht="75" customHeight="1">
      <c r="P81" s="210" t="inlineStr">
        <is>
          <t>SPD03012_SPP_2-成本中心、成本要素、成本要素组对应关系配置表</t>
        </is>
      </c>
      <c r="Q81" s="162" t="inlineStr">
        <is>
          <t>截屏类电子文件【Electronic document】</t>
        </is>
      </c>
      <c r="S81" s="211" t="inlineStr">
        <is>
          <t>成本中心编码/名称Cost centres ID/Name
成本要素编码/名称cost elements ID/Name
成本要素组编码/名称cost element groups ID/Name</t>
        </is>
      </c>
      <c r="T81" s="164" t="inlineStr">
        <is>
          <t>N/A不适用</t>
        </is>
      </c>
      <c r="U81" s="164" t="inlineStr">
        <is>
          <t>Not selected未选</t>
        </is>
      </c>
      <c r="V81" s="164" t="inlineStr">
        <is>
          <t>N/A不适用</t>
        </is>
      </c>
      <c r="W81" s="212" t="n"/>
      <c r="X81" s="153" t="n"/>
    </row>
    <row r="82" ht="37.5" customHeight="1">
      <c r="P82" s="210" t="inlineStr">
        <is>
          <t>SPD03012_SPP_3-辅助生产费用分摊权重数配置表</t>
        </is>
      </c>
      <c r="Q82" s="162" t="inlineStr">
        <is>
          <t>截屏类电子文件【Electronic document】</t>
        </is>
      </c>
      <c r="S82" s="211" t="inlineStr">
        <is>
          <t>辅助生产费用分摊权重数Numbers of weights for the allocation of auxiliary production costs</t>
        </is>
      </c>
      <c r="T82" s="164" t="inlineStr">
        <is>
          <t>N/A不适用</t>
        </is>
      </c>
      <c r="U82" s="164" t="inlineStr">
        <is>
          <t>Not selected未选</t>
        </is>
      </c>
      <c r="V82" s="164" t="inlineStr">
        <is>
          <t>N/A不适用</t>
        </is>
      </c>
      <c r="W82" s="212" t="n"/>
      <c r="X82" s="153" t="n"/>
    </row>
    <row r="83" ht="25" customHeight="1">
      <c r="P83" s="210" t="inlineStr">
        <is>
          <t>SPD03012_SPP_4-实际定额工时配置表</t>
        </is>
      </c>
      <c r="Q83" s="162" t="inlineStr">
        <is>
          <t>截屏类电子文件【Electronic document】</t>
        </is>
      </c>
      <c r="S83" s="211" t="inlineStr">
        <is>
          <t>实际定额工时Actual rated hours</t>
        </is>
      </c>
      <c r="T83" s="164" t="inlineStr">
        <is>
          <t>Agrees相符</t>
        </is>
      </c>
      <c r="U83" s="164" t="inlineStr">
        <is>
          <t>Reasonable合理</t>
        </is>
      </c>
      <c r="V83" s="164" t="inlineStr">
        <is>
          <t>Yes是</t>
        </is>
      </c>
      <c r="W83" s="212" t="n"/>
      <c r="X83" s="153" t="n"/>
    </row>
    <row r="84" ht="37.5" customHeight="1">
      <c r="P84" s="210" t="inlineStr">
        <is>
          <t>SPD03012_SPP_5-&lt;CO03_成本分析&gt;表</t>
        </is>
      </c>
      <c r="Q84" s="162" t="inlineStr">
        <is>
          <t>清单类电子数据【Electronic data】</t>
        </is>
      </c>
      <c r="S84" s="211" t="inlineStr">
        <is>
          <t>完工数量Completed quantity
实际成本[“总的实际成本”]Actual cost ["total actual cost"]</t>
        </is>
      </c>
      <c r="T84" s="164" t="inlineStr">
        <is>
          <t>Agrees相符</t>
        </is>
      </c>
      <c r="U84" s="164" t="inlineStr">
        <is>
          <t>Reasonable合理</t>
        </is>
      </c>
      <c r="V84" s="164" t="inlineStr">
        <is>
          <t>Yes是</t>
        </is>
      </c>
      <c r="W84" s="212" t="n"/>
      <c r="X84" s="153" t="n"/>
    </row>
    <row r="85" ht="37.5" customHeight="1">
      <c r="P85" s="210" t="inlineStr">
        <is>
          <t>SPD03012_SPP_6-工艺路线配置表</t>
        </is>
      </c>
      <c r="Q85" s="162" t="inlineStr">
        <is>
          <t>截屏类电子文件【Electronic document】</t>
        </is>
      </c>
      <c r="S85" s="211" t="inlineStr">
        <is>
          <t>工序编码/名称Process Route ID/Name
工序数量Process Route Quantity</t>
        </is>
      </c>
      <c r="T85" s="164" t="inlineStr">
        <is>
          <t>N/A不适用</t>
        </is>
      </c>
      <c r="U85" s="164" t="inlineStr">
        <is>
          <t>Not selected未选</t>
        </is>
      </c>
      <c r="V85" s="164" t="inlineStr">
        <is>
          <t>N/A不适用</t>
        </is>
      </c>
      <c r="W85" s="212" t="n"/>
      <c r="X85" s="153" t="n"/>
    </row>
    <row r="86" ht="25" customHeight="1">
      <c r="B86" s="206" t="inlineStr">
        <is>
          <t>样本5</t>
        </is>
      </c>
      <c r="C86" s="207" t="n">
        <v>11004120</v>
      </c>
      <c r="D86" s="156" t="inlineStr">
        <is>
          <t>1100P00001</t>
        </is>
      </c>
      <c r="E86" s="157" t="inlineStr">
        <is>
          <t>直接人工</t>
        </is>
      </c>
      <c r="F86" s="158">
        <f>'CO03'!E290</f>
        <v/>
      </c>
      <c r="G86" s="158">
        <f>'CO03'!F290</f>
        <v/>
      </c>
      <c r="H86" s="158">
        <f>'CO03'!G290</f>
        <v/>
      </c>
      <c r="I86" s="158">
        <f>KSBT!Z218</f>
        <v/>
      </c>
      <c r="J86" s="161">
        <f>L86*I86-F86</f>
        <v/>
      </c>
      <c r="K86" s="208">
        <f>H86-J86</f>
        <v/>
      </c>
      <c r="L86" s="157">
        <f>'CO03'!H290</f>
        <v/>
      </c>
      <c r="M86" s="157" t="inlineStr">
        <is>
          <t>不适用</t>
        </is>
      </c>
      <c r="N86" s="209">
        <f>'3611'!AB360</f>
        <v/>
      </c>
      <c r="O86" s="208">
        <f>N86-I86</f>
        <v/>
      </c>
      <c r="P86" s="210" t="inlineStr">
        <is>
          <t>SPD03012_SPP_1-制造费用费率配置表</t>
        </is>
      </c>
      <c r="Q86" s="162" t="inlineStr">
        <is>
          <t>截屏类电子文件【Electronic document】</t>
        </is>
      </c>
      <c r="R86" s="158">
        <f>L86</f>
        <v/>
      </c>
      <c r="S86" s="211" t="inlineStr">
        <is>
          <t>制造费用费率manufacturing overhead cost rate</t>
        </is>
      </c>
      <c r="T86" s="164" t="inlineStr">
        <is>
          <t>Agrees相符</t>
        </is>
      </c>
      <c r="U86" s="164" t="inlineStr">
        <is>
          <t>Reasonable合理</t>
        </is>
      </c>
      <c r="V86" s="164" t="inlineStr">
        <is>
          <t>Yes是</t>
        </is>
      </c>
      <c r="W86" s="212" t="n"/>
      <c r="X86" s="153" t="n"/>
    </row>
    <row r="87" ht="75" customHeight="1">
      <c r="P87" s="210" t="inlineStr">
        <is>
          <t>SPD03012_SPP_2-成本中心、成本要素、成本要素组对应关系配置表</t>
        </is>
      </c>
      <c r="Q87" s="162" t="inlineStr">
        <is>
          <t>截屏类电子文件【Electronic document】</t>
        </is>
      </c>
      <c r="S87" s="211" t="inlineStr">
        <is>
          <t>成本中心编码/名称Cost centres ID/Name
成本要素编码/名称cost elements ID/Name
成本要素组编码/名称cost element groups ID/Name</t>
        </is>
      </c>
      <c r="T87" s="164" t="inlineStr">
        <is>
          <t>N/A不适用</t>
        </is>
      </c>
      <c r="U87" s="164" t="inlineStr">
        <is>
          <t>Not selected未选</t>
        </is>
      </c>
      <c r="V87" s="164" t="inlineStr">
        <is>
          <t>N/A不适用</t>
        </is>
      </c>
      <c r="W87" s="212" t="n"/>
      <c r="X87" s="153" t="n"/>
    </row>
    <row r="88" ht="37.5" customHeight="1">
      <c r="P88" s="210" t="inlineStr">
        <is>
          <t>SPD03012_SPP_3-辅助生产费用分摊权重数配置表</t>
        </is>
      </c>
      <c r="Q88" s="162" t="inlineStr">
        <is>
          <t>截屏类电子文件【Electronic document】</t>
        </is>
      </c>
      <c r="S88" s="211" t="inlineStr">
        <is>
          <t>辅助生产费用分摊权重数Numbers of weights for the allocation of auxiliary production costs</t>
        </is>
      </c>
      <c r="T88" s="164" t="inlineStr">
        <is>
          <t>N/A不适用</t>
        </is>
      </c>
      <c r="U88" s="164" t="inlineStr">
        <is>
          <t>Not selected未选</t>
        </is>
      </c>
      <c r="V88" s="164" t="inlineStr">
        <is>
          <t>N/A不适用</t>
        </is>
      </c>
      <c r="W88" s="212" t="n"/>
      <c r="X88" s="153" t="n"/>
    </row>
    <row r="89" ht="25" customHeight="1">
      <c r="P89" s="210" t="inlineStr">
        <is>
          <t>SPD03012_SPP_4-实际定额工时配置表</t>
        </is>
      </c>
      <c r="Q89" s="162" t="inlineStr">
        <is>
          <t>截屏类电子文件【Electronic document】</t>
        </is>
      </c>
      <c r="S89" s="211" t="inlineStr">
        <is>
          <t>实际定额工时Actual rated hours</t>
        </is>
      </c>
      <c r="T89" s="164" t="inlineStr">
        <is>
          <t>Agrees相符</t>
        </is>
      </c>
      <c r="U89" s="164" t="inlineStr">
        <is>
          <t>Reasonable合理</t>
        </is>
      </c>
      <c r="V89" s="164" t="inlineStr">
        <is>
          <t>Yes是</t>
        </is>
      </c>
      <c r="W89" s="212" t="n"/>
      <c r="X89" s="153" t="n"/>
    </row>
    <row r="90" ht="37.5" customHeight="1">
      <c r="P90" s="210" t="inlineStr">
        <is>
          <t>SPD03012_SPP_5-&lt;CO03_成本分析&gt;表</t>
        </is>
      </c>
      <c r="Q90" s="162" t="inlineStr">
        <is>
          <t>清单类电子数据【Electronic data】</t>
        </is>
      </c>
      <c r="S90" s="211" t="inlineStr">
        <is>
          <t>完工数量Completed quantity
实际成本[“总的实际成本”]Actual cost ["total actual cost"]</t>
        </is>
      </c>
      <c r="T90" s="164" t="inlineStr">
        <is>
          <t>Agrees相符</t>
        </is>
      </c>
      <c r="U90" s="164" t="inlineStr">
        <is>
          <t>Reasonable合理</t>
        </is>
      </c>
      <c r="V90" s="164" t="inlineStr">
        <is>
          <t>Yes是</t>
        </is>
      </c>
      <c r="W90" s="212" t="n"/>
      <c r="X90" s="153" t="n"/>
    </row>
    <row r="91" ht="37.5" customHeight="1">
      <c r="P91" s="210" t="inlineStr">
        <is>
          <t>SPD03012_SPP_6-工艺路线配置表</t>
        </is>
      </c>
      <c r="Q91" s="162" t="inlineStr">
        <is>
          <t>截屏类电子文件【Electronic document】</t>
        </is>
      </c>
      <c r="S91" s="211" t="inlineStr">
        <is>
          <t>工序编码/名称Process Route ID/Name
工序数量Process Route Quantity</t>
        </is>
      </c>
      <c r="T91" s="164" t="inlineStr">
        <is>
          <t>N/A不适用</t>
        </is>
      </c>
      <c r="U91" s="164" t="inlineStr">
        <is>
          <t>Not selected未选</t>
        </is>
      </c>
      <c r="V91" s="164" t="inlineStr">
        <is>
          <t>N/A不适用</t>
        </is>
      </c>
      <c r="W91" s="212" t="n"/>
      <c r="X91" s="153" t="n"/>
    </row>
    <row r="92" ht="25" customHeight="1">
      <c r="B92" s="206" t="inlineStr">
        <is>
          <t>样本5</t>
        </is>
      </c>
      <c r="C92" s="207" t="n">
        <v>11004120</v>
      </c>
      <c r="D92" s="156" t="inlineStr">
        <is>
          <t>1100P00001</t>
        </is>
      </c>
      <c r="E92" s="157" t="inlineStr">
        <is>
          <t>折旧与摊销</t>
        </is>
      </c>
      <c r="F92" s="158">
        <f>'CO03'!E292</f>
        <v/>
      </c>
      <c r="G92" s="158">
        <f>'CO03'!F292</f>
        <v/>
      </c>
      <c r="H92" s="158">
        <f>'CO03'!G292</f>
        <v/>
      </c>
      <c r="I92" s="158">
        <f>KSBT!Z220</f>
        <v/>
      </c>
      <c r="J92" s="161">
        <f>L92*I92-F92</f>
        <v/>
      </c>
      <c r="K92" s="208">
        <f>H92-J92</f>
        <v/>
      </c>
      <c r="L92" s="157">
        <f>'CO03'!H292</f>
        <v/>
      </c>
      <c r="M92" s="157" t="inlineStr">
        <is>
          <t>不适用</t>
        </is>
      </c>
      <c r="N92" s="209">
        <f>'3611'!AB362</f>
        <v/>
      </c>
      <c r="O92" s="208">
        <f>N92-I92</f>
        <v/>
      </c>
      <c r="P92" s="210" t="inlineStr">
        <is>
          <t>SPD03012_SPP_1-制造费用费率配置表</t>
        </is>
      </c>
      <c r="Q92" s="162" t="inlineStr">
        <is>
          <t>截屏类电子文件【Electronic document】</t>
        </is>
      </c>
      <c r="R92" s="158">
        <f>L92</f>
        <v/>
      </c>
      <c r="S92" s="211" t="inlineStr">
        <is>
          <t>制造费用费率manufacturing overhead cost rate</t>
        </is>
      </c>
      <c r="T92" s="164" t="inlineStr">
        <is>
          <t>Agrees相符</t>
        </is>
      </c>
      <c r="U92" s="164" t="inlineStr">
        <is>
          <t>Reasonable合理</t>
        </is>
      </c>
      <c r="V92" s="164" t="inlineStr">
        <is>
          <t>Yes是</t>
        </is>
      </c>
      <c r="W92" s="212" t="n"/>
      <c r="X92" s="153" t="n"/>
    </row>
    <row r="93" ht="75" customHeight="1">
      <c r="P93" s="210" t="inlineStr">
        <is>
          <t>SPD03012_SPP_2-成本中心、成本要素、成本要素组对应关系配置表</t>
        </is>
      </c>
      <c r="Q93" s="162" t="inlineStr">
        <is>
          <t>截屏类电子文件【Electronic document】</t>
        </is>
      </c>
      <c r="S93" s="211" t="inlineStr">
        <is>
          <t>成本中心编码/名称Cost centres ID/Name
成本要素编码/名称cost elements ID/Name
成本要素组编码/名称cost element groups ID/Name</t>
        </is>
      </c>
      <c r="T93" s="164" t="inlineStr">
        <is>
          <t>N/A不适用</t>
        </is>
      </c>
      <c r="U93" s="164" t="inlineStr">
        <is>
          <t>Not selected未选</t>
        </is>
      </c>
      <c r="V93" s="164" t="inlineStr">
        <is>
          <t>N/A不适用</t>
        </is>
      </c>
      <c r="W93" s="212" t="n"/>
      <c r="X93" s="153" t="n"/>
    </row>
    <row r="94" ht="37.5" customHeight="1">
      <c r="P94" s="210" t="inlineStr">
        <is>
          <t>SPD03012_SPP_3-辅助生产费用分摊权重数配置表</t>
        </is>
      </c>
      <c r="Q94" s="162" t="inlineStr">
        <is>
          <t>截屏类电子文件【Electronic document】</t>
        </is>
      </c>
      <c r="S94" s="211" t="inlineStr">
        <is>
          <t>辅助生产费用分摊权重数Numbers of weights for the allocation of auxiliary production costs</t>
        </is>
      </c>
      <c r="T94" s="164" t="inlineStr">
        <is>
          <t>N/A不适用</t>
        </is>
      </c>
      <c r="U94" s="164" t="inlineStr">
        <is>
          <t>Not selected未选</t>
        </is>
      </c>
      <c r="V94" s="164" t="inlineStr">
        <is>
          <t>N/A不适用</t>
        </is>
      </c>
      <c r="W94" s="212" t="n"/>
      <c r="X94" s="153" t="n"/>
    </row>
    <row r="95" ht="25" customHeight="1">
      <c r="P95" s="210" t="inlineStr">
        <is>
          <t>SPD03012_SPP_4-实际定额工时配置表</t>
        </is>
      </c>
      <c r="Q95" s="162" t="inlineStr">
        <is>
          <t>截屏类电子文件【Electronic document】</t>
        </is>
      </c>
      <c r="S95" s="211" t="inlineStr">
        <is>
          <t>实际定额工时Actual rated hours</t>
        </is>
      </c>
      <c r="T95" s="164" t="inlineStr">
        <is>
          <t>Agrees相符</t>
        </is>
      </c>
      <c r="U95" s="164" t="inlineStr">
        <is>
          <t>Reasonable合理</t>
        </is>
      </c>
      <c r="V95" s="164" t="inlineStr">
        <is>
          <t>Yes是</t>
        </is>
      </c>
      <c r="W95" s="212" t="n"/>
      <c r="X95" s="153" t="n"/>
    </row>
    <row r="96" ht="37.5" customHeight="1">
      <c r="P96" s="210" t="inlineStr">
        <is>
          <t>SPD03012_SPP_5-&lt;CO03_成本分析&gt;表</t>
        </is>
      </c>
      <c r="Q96" s="162" t="inlineStr">
        <is>
          <t>清单类电子数据【Electronic data】</t>
        </is>
      </c>
      <c r="S96" s="211" t="inlineStr">
        <is>
          <t>完工数量Completed quantity
实际成本[“总的实际成本”]Actual cost ["total actual cost"]</t>
        </is>
      </c>
      <c r="T96" s="164" t="inlineStr">
        <is>
          <t>Agrees相符</t>
        </is>
      </c>
      <c r="U96" s="164" t="inlineStr">
        <is>
          <t>Reasonable合理</t>
        </is>
      </c>
      <c r="V96" s="164" t="inlineStr">
        <is>
          <t>Yes是</t>
        </is>
      </c>
      <c r="W96" s="212" t="n"/>
      <c r="X96" s="153" t="n"/>
    </row>
    <row r="97" ht="37.5" customHeight="1">
      <c r="P97" s="210" t="inlineStr">
        <is>
          <t>SPD03012_SPP_6-工艺路线配置表</t>
        </is>
      </c>
      <c r="Q97" s="162" t="inlineStr">
        <is>
          <t>截屏类电子文件【Electronic document】</t>
        </is>
      </c>
      <c r="S97" s="211" t="inlineStr">
        <is>
          <t>工序编码/名称Process Route ID/Name
工序数量Process Route Quantity</t>
        </is>
      </c>
      <c r="T97" s="164" t="inlineStr">
        <is>
          <t>N/A不适用</t>
        </is>
      </c>
      <c r="U97" s="164" t="inlineStr">
        <is>
          <t>Not selected未选</t>
        </is>
      </c>
      <c r="V97" s="164" t="inlineStr">
        <is>
          <t>N/A不适用</t>
        </is>
      </c>
      <c r="W97" s="212" t="n"/>
      <c r="X97" s="153" t="n"/>
    </row>
    <row r="98">
      <c r="X98" s="153" t="n"/>
    </row>
    <row r="99" ht="24" customHeight="1">
      <c r="B99" s="168" t="inlineStr">
        <is>
          <t>Table B: 重新计算总成本差异</t>
        </is>
      </c>
      <c r="X99" s="153" t="n"/>
    </row>
    <row r="100" ht="29.5" customHeight="1">
      <c r="B100" s="213" t="inlineStr">
        <is>
          <t>重新计算</t>
        </is>
      </c>
      <c r="P100" s="128" t="n"/>
      <c r="Q100" s="214" t="n"/>
      <c r="W100" s="153" t="n"/>
    </row>
    <row r="101" ht="85.5" customHeight="1">
      <c r="B101" s="138" t="inlineStr">
        <is>
          <t>序号</t>
        </is>
      </c>
      <c r="C101" s="136" t="inlineStr">
        <is>
          <t>Product ID #
产品ID编号</t>
        </is>
      </c>
      <c r="D101" s="136" t="inlineStr">
        <is>
          <t>Cost Center
成本中心</t>
        </is>
      </c>
      <c r="E101" s="136" t="inlineStr">
        <is>
          <t>Order ID #
生产订单ID编号</t>
        </is>
      </c>
      <c r="F101" s="172" t="inlineStr">
        <is>
          <t>Nature of the expense
费用性质</t>
        </is>
      </c>
      <c r="G101" s="134" t="inlineStr">
        <is>
          <t xml:space="preserve">每单位标准成本金额Standard cost amount per unit
</t>
        </is>
      </c>
      <c r="H101" s="134" t="inlineStr">
        <is>
          <t>Labor hours
工时数</t>
        </is>
      </c>
      <c r="I101" s="134" t="inlineStr">
        <is>
          <t>Standard cost total amount
标准成本总额</t>
        </is>
      </c>
      <c r="J101" s="138" t="inlineStr">
        <is>
          <t>Actual cost total amount
实际成本总额</t>
        </is>
      </c>
      <c r="K101" s="173" t="inlineStr">
        <is>
          <t>重新计算的成本差异Recalculated cost variance
重新计算的成本差异</t>
        </is>
      </c>
      <c r="L101" s="140" t="inlineStr">
        <is>
          <t xml:space="preserve">账上的成本差异Cost variance in accounting book
</t>
        </is>
      </c>
      <c r="M101" s="141" t="inlineStr">
        <is>
          <t>差异</t>
        </is>
      </c>
      <c r="N101" s="134" t="inlineStr">
        <is>
          <t>注释</t>
        </is>
      </c>
      <c r="Q101" s="214" t="n"/>
      <c r="S101" s="128" t="n"/>
      <c r="Z101" s="153" t="n"/>
    </row>
    <row r="102" ht="14" customHeight="1">
      <c r="B102" s="174" t="n"/>
      <c r="C102" s="175" t="n"/>
      <c r="D102" s="175" t="n"/>
      <c r="E102" s="175" t="n"/>
      <c r="F102" s="176" t="n"/>
      <c r="G102" s="176" t="inlineStr">
        <is>
          <t>A</t>
        </is>
      </c>
      <c r="H102" s="176" t="inlineStr">
        <is>
          <t>B</t>
        </is>
      </c>
      <c r="I102" s="176" t="inlineStr">
        <is>
          <t>C</t>
        </is>
      </c>
      <c r="J102" s="176" t="inlineStr">
        <is>
          <t>D</t>
        </is>
      </c>
      <c r="K102" s="176" t="inlineStr">
        <is>
          <t>E=D-C</t>
        </is>
      </c>
      <c r="L102" s="176" t="inlineStr">
        <is>
          <t>F</t>
        </is>
      </c>
      <c r="M102" s="176" t="inlineStr">
        <is>
          <t>G=E-F</t>
        </is>
      </c>
      <c r="N102" s="177" t="n"/>
      <c r="Q102" s="214" t="n"/>
      <c r="S102" s="128" t="n"/>
      <c r="Z102" s="153" t="n"/>
    </row>
    <row r="103" ht="20.5" customHeight="1">
      <c r="B103" s="178" t="inlineStr">
        <is>
          <t>样本1</t>
        </is>
      </c>
      <c r="C103" s="215">
        <f>'CO03'!B2</f>
        <v/>
      </c>
      <c r="D103" s="180">
        <f>D38</f>
        <v/>
      </c>
      <c r="E103" s="155">
        <f>C38</f>
        <v/>
      </c>
      <c r="F103" s="157">
        <f>E38</f>
        <v/>
      </c>
      <c r="G103" s="157" t="n">
        <v>29.46953642384106</v>
      </c>
      <c r="H103" s="59">
        <f>L38</f>
        <v/>
      </c>
      <c r="I103" s="63">
        <f>G103*H103</f>
        <v/>
      </c>
      <c r="J103" s="216">
        <f>G38</f>
        <v/>
      </c>
      <c r="K103" s="63">
        <f>J103-I103</f>
        <v/>
      </c>
      <c r="L103" s="216">
        <f>H38</f>
        <v/>
      </c>
      <c r="M103" s="63">
        <f>L103-K103</f>
        <v/>
      </c>
      <c r="N103" s="187" t="n"/>
      <c r="Z103" s="188" t="n"/>
    </row>
    <row r="104" ht="20.5" customHeight="1">
      <c r="B104" s="178" t="inlineStr">
        <is>
          <t>样本1</t>
        </is>
      </c>
      <c r="C104" s="215" t="n">
        <v>11000177</v>
      </c>
      <c r="D104" s="180" t="inlineStr">
        <is>
          <t>1100P00001</t>
        </is>
      </c>
      <c r="E104" s="155" t="n">
        <v>11000437</v>
      </c>
      <c r="F104" s="157" t="inlineStr">
        <is>
          <t>折旧与摊销</t>
        </is>
      </c>
      <c r="G104" s="157" t="n">
        <v>1.576158940397351</v>
      </c>
      <c r="H104" s="59">
        <f>L44</f>
        <v/>
      </c>
      <c r="I104" s="63">
        <f>F44</f>
        <v/>
      </c>
      <c r="J104" s="216">
        <f>G44</f>
        <v/>
      </c>
      <c r="K104" s="63">
        <f>J104-I104</f>
        <v/>
      </c>
      <c r="L104" s="216">
        <f>H44</f>
        <v/>
      </c>
      <c r="M104" s="63" t="n">
        <v>0</v>
      </c>
      <c r="N104" s="187" t="n"/>
      <c r="Z104" s="188" t="n"/>
    </row>
    <row r="105" ht="20.5" customHeight="1">
      <c r="B105" s="178" t="inlineStr">
        <is>
          <t>样本2</t>
        </is>
      </c>
      <c r="C105" s="215">
        <f>'CO03'!B61</f>
        <v/>
      </c>
      <c r="D105" s="180">
        <f>D44</f>
        <v/>
      </c>
      <c r="E105" s="155" t="n">
        <v>11000027</v>
      </c>
      <c r="F105" s="157" t="inlineStr">
        <is>
          <t>直接人工</t>
        </is>
      </c>
      <c r="G105" s="157" t="n">
        <v>51.65</v>
      </c>
      <c r="H105" s="59">
        <f>L50</f>
        <v/>
      </c>
      <c r="I105" s="63">
        <f>F50</f>
        <v/>
      </c>
      <c r="J105" s="216">
        <f>G50</f>
        <v/>
      </c>
      <c r="K105" s="63">
        <f>J105-I105</f>
        <v/>
      </c>
      <c r="L105" s="216">
        <f>H50</f>
        <v/>
      </c>
      <c r="M105" s="63">
        <f>L105-K105</f>
        <v/>
      </c>
      <c r="N105" s="187" t="n"/>
      <c r="Z105" s="188" t="n"/>
    </row>
    <row r="106" ht="20.5" customHeight="1">
      <c r="B106" s="178" t="inlineStr">
        <is>
          <t>样本2</t>
        </is>
      </c>
      <c r="C106" s="215" t="n">
        <v>11000027</v>
      </c>
      <c r="D106" s="180" t="inlineStr">
        <is>
          <t>1100P00001</t>
        </is>
      </c>
      <c r="E106" s="155" t="n">
        <v>11000027</v>
      </c>
      <c r="F106" s="157" t="inlineStr">
        <is>
          <t>折旧与摊销</t>
        </is>
      </c>
      <c r="G106" s="157" t="n">
        <v>3.4</v>
      </c>
      <c r="H106" s="59">
        <f>L56</f>
        <v/>
      </c>
      <c r="I106" s="63">
        <f>F56</f>
        <v/>
      </c>
      <c r="J106" s="216">
        <f>G56</f>
        <v/>
      </c>
      <c r="K106" s="63">
        <f>J106-I106</f>
        <v/>
      </c>
      <c r="L106" s="216">
        <f>H56</f>
        <v/>
      </c>
      <c r="M106" s="63" t="n">
        <v>0</v>
      </c>
      <c r="N106" s="187" t="n"/>
      <c r="Z106" s="188" t="n"/>
    </row>
    <row r="107" ht="20.5" customHeight="1">
      <c r="B107" s="178" t="inlineStr">
        <is>
          <t>样本3</t>
        </is>
      </c>
      <c r="C107" s="215">
        <f>'CO03'!B120</f>
        <v/>
      </c>
      <c r="D107" s="180">
        <f>D68</f>
        <v/>
      </c>
      <c r="E107" s="155">
        <f>C68</f>
        <v/>
      </c>
      <c r="F107" s="157" t="inlineStr">
        <is>
          <t>直接人工</t>
        </is>
      </c>
      <c r="G107" s="157" t="n">
        <v>55.06</v>
      </c>
      <c r="H107" s="59">
        <f>L62</f>
        <v/>
      </c>
      <c r="I107" s="63">
        <f>F62</f>
        <v/>
      </c>
      <c r="J107" s="216">
        <f>G62</f>
        <v/>
      </c>
      <c r="K107" s="63">
        <f>J107-I107</f>
        <v/>
      </c>
      <c r="L107" s="216">
        <f>H62</f>
        <v/>
      </c>
      <c r="M107" s="63">
        <f>L107-K107</f>
        <v/>
      </c>
      <c r="N107" s="187" t="n"/>
      <c r="Z107" s="188" t="n"/>
    </row>
    <row r="108" ht="20.5" customHeight="1">
      <c r="B108" s="178" t="inlineStr">
        <is>
          <t>样本3</t>
        </is>
      </c>
      <c r="C108" s="215" t="n">
        <v>12006492</v>
      </c>
      <c r="D108" s="180" t="inlineStr">
        <is>
          <t>1100P00002</t>
        </is>
      </c>
      <c r="E108" s="155" t="n">
        <v>11001846</v>
      </c>
      <c r="F108" s="157" t="inlineStr">
        <is>
          <t>折旧与摊销</t>
        </is>
      </c>
      <c r="G108" s="157" t="n">
        <v>52.32</v>
      </c>
      <c r="H108" s="59">
        <f>L68</f>
        <v/>
      </c>
      <c r="I108" s="63">
        <f>F68</f>
        <v/>
      </c>
      <c r="J108" s="216">
        <f>G68</f>
        <v/>
      </c>
      <c r="K108" s="63">
        <f>J108-I108</f>
        <v/>
      </c>
      <c r="L108" s="216">
        <f>H68</f>
        <v/>
      </c>
      <c r="M108" s="63" t="n">
        <v>0</v>
      </c>
      <c r="N108" s="187" t="n"/>
      <c r="Z108" s="188" t="n"/>
    </row>
    <row r="109" ht="20.5" customHeight="1">
      <c r="B109" s="178" t="inlineStr">
        <is>
          <t>样本4</t>
        </is>
      </c>
      <c r="C109" s="215">
        <f>'CO03'!B180</f>
        <v/>
      </c>
      <c r="D109" s="180">
        <f>D80</f>
        <v/>
      </c>
      <c r="E109" s="155">
        <f>C80</f>
        <v/>
      </c>
      <c r="F109" s="157" t="inlineStr">
        <is>
          <t>直接人工</t>
        </is>
      </c>
      <c r="G109" s="157" t="n">
        <v>55.06</v>
      </c>
      <c r="H109" s="59">
        <f>L74</f>
        <v/>
      </c>
      <c r="I109" s="63">
        <f>G109*H109</f>
        <v/>
      </c>
      <c r="J109" s="216">
        <f>G74</f>
        <v/>
      </c>
      <c r="K109" s="63">
        <f>J109-I109</f>
        <v/>
      </c>
      <c r="L109" s="216">
        <f>H74</f>
        <v/>
      </c>
      <c r="M109" s="63">
        <f>L109-K109</f>
        <v/>
      </c>
      <c r="N109" s="187" t="n"/>
      <c r="Z109" s="188" t="n"/>
    </row>
    <row r="110" ht="20.5" customHeight="1">
      <c r="B110" s="178" t="inlineStr">
        <is>
          <t>样本4</t>
        </is>
      </c>
      <c r="C110" s="215" t="n">
        <v>12007933</v>
      </c>
      <c r="D110" s="180" t="inlineStr">
        <is>
          <t>1100P00002</t>
        </is>
      </c>
      <c r="E110" s="155" t="n">
        <v>11002963</v>
      </c>
      <c r="F110" s="157" t="inlineStr">
        <is>
          <t>折旧与摊销</t>
        </is>
      </c>
      <c r="G110" s="157" t="n">
        <v>52.32</v>
      </c>
      <c r="H110" s="59">
        <f>L80</f>
        <v/>
      </c>
      <c r="I110" s="63">
        <f>G110*H110</f>
        <v/>
      </c>
      <c r="J110" s="216">
        <f>G80</f>
        <v/>
      </c>
      <c r="K110" s="63">
        <f>J110-I110</f>
        <v/>
      </c>
      <c r="L110" s="216">
        <f>H80</f>
        <v/>
      </c>
      <c r="M110" s="63" t="n">
        <v>0</v>
      </c>
      <c r="N110" s="187" t="n"/>
      <c r="Z110" s="188" t="n"/>
    </row>
    <row r="111" ht="20.5" customHeight="1">
      <c r="B111" s="178" t="inlineStr">
        <is>
          <t>样本5</t>
        </is>
      </c>
      <c r="C111" s="215">
        <f>'CO03'!B240</f>
        <v/>
      </c>
      <c r="D111" s="180">
        <f>D92</f>
        <v/>
      </c>
      <c r="E111" s="155">
        <f>C92</f>
        <v/>
      </c>
      <c r="F111" s="157" t="inlineStr">
        <is>
          <t>直接人工</t>
        </is>
      </c>
      <c r="G111" s="157" t="n">
        <v>0</v>
      </c>
      <c r="H111" s="59">
        <f>L86</f>
        <v/>
      </c>
      <c r="I111" s="63">
        <f>G111*H111</f>
        <v/>
      </c>
      <c r="J111" s="216">
        <f>G86</f>
        <v/>
      </c>
      <c r="K111" s="63">
        <f>J111-I111</f>
        <v/>
      </c>
      <c r="L111" s="216">
        <f>H86</f>
        <v/>
      </c>
      <c r="M111" s="63">
        <f>L111-K111</f>
        <v/>
      </c>
      <c r="N111" s="187" t="n"/>
      <c r="Z111" s="188" t="n"/>
    </row>
    <row r="112" ht="20.5" customHeight="1">
      <c r="B112" s="178" t="inlineStr">
        <is>
          <t>样本5</t>
        </is>
      </c>
      <c r="C112" s="215" t="n">
        <v>11000236</v>
      </c>
      <c r="D112" s="180" t="inlineStr">
        <is>
          <t>1100P00001</t>
        </is>
      </c>
      <c r="E112" s="155" t="n">
        <v>11004120</v>
      </c>
      <c r="F112" s="157" t="inlineStr">
        <is>
          <t>折旧与摊销</t>
        </is>
      </c>
      <c r="G112" s="157" t="n">
        <v>0</v>
      </c>
      <c r="H112" s="59">
        <f>L92</f>
        <v/>
      </c>
      <c r="I112" s="63">
        <f>G112*H112</f>
        <v/>
      </c>
      <c r="J112" s="216">
        <f>G92</f>
        <v/>
      </c>
      <c r="K112" s="63">
        <f>J112-I112</f>
        <v/>
      </c>
      <c r="L112" s="216">
        <f>H92</f>
        <v/>
      </c>
      <c r="M112" s="63" t="n">
        <v>0</v>
      </c>
      <c r="N112" s="187" t="n"/>
      <c r="Z112" s="188" t="n"/>
    </row>
    <row r="113">
      <c r="X113" s="153" t="n"/>
    </row>
    <row r="114" ht="13" customHeight="1">
      <c r="B114" s="189" t="inlineStr">
        <is>
          <t>Additional documentation (If applicable) 其他记录 （若适用）</t>
        </is>
      </c>
      <c r="C114" s="217" t="n"/>
      <c r="D114" s="217" t="n"/>
      <c r="E114" s="191" t="n"/>
      <c r="F114" s="191" t="n"/>
      <c r="G114" s="191" t="n"/>
      <c r="H114" s="191" t="n"/>
      <c r="I114" s="191" t="n"/>
      <c r="J114" s="191" t="n"/>
      <c r="K114" s="191" t="n"/>
      <c r="L114" s="191" t="n"/>
      <c r="M114" s="191" t="n"/>
      <c r="N114" s="191" t="n"/>
      <c r="X114" s="153" t="n"/>
    </row>
    <row r="115">
      <c r="X115" s="153" t="n"/>
    </row>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sheetData>
  <mergeCells count="157">
    <mergeCell ref="B50:B55"/>
    <mergeCell ref="D50:D55"/>
    <mergeCell ref="C92:C97"/>
    <mergeCell ref="F44:F49"/>
    <mergeCell ref="E92:E97"/>
    <mergeCell ref="G86:G91"/>
    <mergeCell ref="I86:I91"/>
    <mergeCell ref="M50:M55"/>
    <mergeCell ref="R44:R49"/>
    <mergeCell ref="I80:I85"/>
    <mergeCell ref="K80:K85"/>
    <mergeCell ref="F68:F73"/>
    <mergeCell ref="H68:H73"/>
    <mergeCell ref="J74:J79"/>
    <mergeCell ref="N50:N55"/>
    <mergeCell ref="J68:J73"/>
    <mergeCell ref="L68:L73"/>
    <mergeCell ref="B100:N100"/>
    <mergeCell ref="N68:N73"/>
    <mergeCell ref="G62:G67"/>
    <mergeCell ref="I62:I67"/>
    <mergeCell ref="I56:I61"/>
    <mergeCell ref="K56:K61"/>
    <mergeCell ref="N92:N97"/>
    <mergeCell ref="C56:C61"/>
    <mergeCell ref="M74:M79"/>
    <mergeCell ref="F62:F67"/>
    <mergeCell ref="J86:J91"/>
    <mergeCell ref="O74:O79"/>
    <mergeCell ref="H80:H85"/>
    <mergeCell ref="L44:L49"/>
    <mergeCell ref="N44:N49"/>
    <mergeCell ref="G50:G55"/>
    <mergeCell ref="L86:L91"/>
    <mergeCell ref="D38:D43"/>
    <mergeCell ref="L80:L85"/>
    <mergeCell ref="H62:H67"/>
    <mergeCell ref="N86:N91"/>
    <mergeCell ref="R62:R67"/>
    <mergeCell ref="N80:N85"/>
    <mergeCell ref="J62:J67"/>
    <mergeCell ref="C74:C79"/>
    <mergeCell ref="C86:C91"/>
    <mergeCell ref="C68:C73"/>
    <mergeCell ref="K92:K97"/>
    <mergeCell ref="E68:E73"/>
    <mergeCell ref="J38:J43"/>
    <mergeCell ref="M92:M97"/>
    <mergeCell ref="O86:O91"/>
    <mergeCell ref="O68:O73"/>
    <mergeCell ref="O92:O97"/>
    <mergeCell ref="J34:K34"/>
    <mergeCell ref="N56:N61"/>
    <mergeCell ref="F74:F79"/>
    <mergeCell ref="H74:H79"/>
    <mergeCell ref="H56:H61"/>
    <mergeCell ref="R74:R79"/>
    <mergeCell ref="E38:E43"/>
    <mergeCell ref="G38:G43"/>
    <mergeCell ref="C44:C49"/>
    <mergeCell ref="E44:E49"/>
    <mergeCell ref="C80:C85"/>
    <mergeCell ref="L74:L79"/>
    <mergeCell ref="O44:O49"/>
    <mergeCell ref="M80:M85"/>
    <mergeCell ref="B44:B49"/>
    <mergeCell ref="E86:E91"/>
    <mergeCell ref="E80:E85"/>
    <mergeCell ref="G80:G85"/>
    <mergeCell ref="B68:B73"/>
    <mergeCell ref="D68:D73"/>
    <mergeCell ref="I38:I43"/>
    <mergeCell ref="O62:O67"/>
    <mergeCell ref="B92:B97"/>
    <mergeCell ref="D92:D97"/>
    <mergeCell ref="J50:J55"/>
    <mergeCell ref="F92:F97"/>
    <mergeCell ref="H86:H91"/>
    <mergeCell ref="M38:M43"/>
    <mergeCell ref="O38:O43"/>
    <mergeCell ref="R92:R97"/>
    <mergeCell ref="I50:I55"/>
    <mergeCell ref="E62:E67"/>
    <mergeCell ref="H92:H97"/>
    <mergeCell ref="J92:J97"/>
    <mergeCell ref="I74:I79"/>
    <mergeCell ref="K74:K79"/>
    <mergeCell ref="K68:K73"/>
    <mergeCell ref="M68:M73"/>
    <mergeCell ref="R38:R43"/>
    <mergeCell ref="H38:H43"/>
    <mergeCell ref="D80:D85"/>
    <mergeCell ref="H44:H49"/>
    <mergeCell ref="F80:F85"/>
    <mergeCell ref="B62:B67"/>
    <mergeCell ref="J44:J49"/>
    <mergeCell ref="B56:B61"/>
    <mergeCell ref="N62:N67"/>
    <mergeCell ref="B38:B43"/>
    <mergeCell ref="J80:J85"/>
    <mergeCell ref="K44:K49"/>
    <mergeCell ref="F50:F55"/>
    <mergeCell ref="C50:C55"/>
    <mergeCell ref="D56:D61"/>
    <mergeCell ref="G92:G97"/>
    <mergeCell ref="F56:F61"/>
    <mergeCell ref="I92:I97"/>
    <mergeCell ref="K86:K91"/>
    <mergeCell ref="P34:S34"/>
    <mergeCell ref="O50:O55"/>
    <mergeCell ref="M86:M91"/>
    <mergeCell ref="O80:O85"/>
    <mergeCell ref="L50:L55"/>
    <mergeCell ref="J56:J61"/>
    <mergeCell ref="B74:B79"/>
    <mergeCell ref="L56:L61"/>
    <mergeCell ref="D74:D79"/>
    <mergeCell ref="N74:N79"/>
    <mergeCell ref="K38:K43"/>
    <mergeCell ref="R50:R55"/>
    <mergeCell ref="C38:C43"/>
    <mergeCell ref="R68:R73"/>
    <mergeCell ref="K62:K67"/>
    <mergeCell ref="M62:M67"/>
    <mergeCell ref="C62:C67"/>
    <mergeCell ref="M44:M49"/>
    <mergeCell ref="M56:M61"/>
    <mergeCell ref="E56:E61"/>
    <mergeCell ref="G56:G61"/>
    <mergeCell ref="D44:D49"/>
    <mergeCell ref="T34:W34"/>
    <mergeCell ref="K50:K55"/>
    <mergeCell ref="B86:B91"/>
    <mergeCell ref="D86:D91"/>
    <mergeCell ref="H50:H55"/>
    <mergeCell ref="F86:F91"/>
    <mergeCell ref="L92:L97"/>
    <mergeCell ref="R86:R91"/>
    <mergeCell ref="L62:L67"/>
    <mergeCell ref="R80:R85"/>
    <mergeCell ref="E74:E79"/>
    <mergeCell ref="O56:O61"/>
    <mergeCell ref="G74:G79"/>
    <mergeCell ref="B34:I34"/>
    <mergeCell ref="G68:G73"/>
    <mergeCell ref="L38:L43"/>
    <mergeCell ref="I68:I73"/>
    <mergeCell ref="N38:N43"/>
    <mergeCell ref="F38:F43"/>
    <mergeCell ref="D62:D67"/>
    <mergeCell ref="B80:B85"/>
    <mergeCell ref="L34:M34"/>
    <mergeCell ref="N34:O34"/>
    <mergeCell ref="R56:R61"/>
    <mergeCell ref="E50:E55"/>
    <mergeCell ref="G44:G49"/>
    <mergeCell ref="I44:I49"/>
  </mergeCells>
  <pageMargins left="0.25" right="0.25" top="0.75" bottom="0.75" header="0.5" footer="0.5"/>
  <pageSetup orientation="landscape" paperSize="8"/>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Z169"/>
  <sheetViews>
    <sheetView showGridLines="0" workbookViewId="0">
      <selection activeCell="A1" sqref="A1"/>
    </sheetView>
  </sheetViews>
  <sheetFormatPr baseColWidth="8" defaultColWidth="8.54296875" defaultRowHeight="12.5"/>
  <cols>
    <col width="1.6328125" customWidth="1" min="1" max="1"/>
    <col width="22.6328125" customWidth="1" min="2" max="2"/>
    <col width="28.08984375" customWidth="1" min="3" max="3"/>
    <col width="16.26953125" customWidth="1" min="4" max="4"/>
    <col width="20.08984375" customWidth="1" min="5" max="5"/>
    <col width="28.7265625" customWidth="1" min="6" max="6"/>
    <col width="11.81640625" customWidth="1" min="7" max="7"/>
    <col width="14.7265625" customWidth="1" min="9" max="9"/>
    <col width="17.7265625" customWidth="1" min="10" max="10"/>
    <col width="11.81640625" customWidth="1" min="11" max="11"/>
    <col width="14.08984375" customWidth="1" min="12" max="12"/>
    <col width="11.81640625" customWidth="1" min="13" max="13"/>
    <col width="18.453125" customWidth="1" min="16" max="16"/>
    <col width="11.81640625" customWidth="1" min="17" max="17"/>
    <col width="52.08984375" customWidth="1" min="18" max="18"/>
    <col width="48.54296875" customWidth="1" min="19" max="19"/>
    <col width="33.36328125" customWidth="1" min="20" max="20"/>
    <col width="31" customWidth="1" min="21" max="21"/>
    <col width="29.36328125" customWidth="1" min="23" max="23"/>
    <col width="37.36328125" customWidth="1" min="24" max="24"/>
    <col width="51.453125" customWidth="1" min="25" max="25"/>
    <col width="118.6328125" customWidth="1" min="26" max="26"/>
    <col width="35" customWidth="1" min="27" max="27"/>
    <col width="64.6328125" customWidth="1" min="28" max="28"/>
    <col width="8.54296875" customWidth="1" min="29" max="29"/>
  </cols>
  <sheetData>
    <row r="1" ht="5.15" customHeight="1">
      <c r="A1" s="93" t="n"/>
      <c r="C1" s="94" t="n"/>
      <c r="D1" s="94" t="n"/>
      <c r="E1" s="94" t="n"/>
      <c r="L1" s="95" t="n"/>
    </row>
    <row r="2" outlineLevel="1" ht="53.15" customHeight="1">
      <c r="B2" s="96" t="inlineStr">
        <is>
          <t>kpmg  存货的可变加工成本 (标准成本法)  - 重新计算</t>
        </is>
      </c>
      <c r="C2" s="97" t="n"/>
      <c r="D2" s="97" t="n"/>
      <c r="E2" s="97" t="n"/>
      <c r="L2" s="98" t="n"/>
    </row>
    <row r="3" outlineLevel="1" ht="14.5" customHeight="1">
      <c r="B3" s="99" t="inlineStr">
        <is>
          <t>(This substantive procedure template is used to test the inventory fixed and variable costs of conversion under standard cost method.)
（本实质性程序模板用于测试标准成本法下的存货固定和可变加工成本。）</t>
        </is>
      </c>
    </row>
    <row r="4" hidden="1" outlineLevel="1" ht="14.5" customHeight="1">
      <c r="B4" s="100" t="n"/>
      <c r="C4" s="101" t="n"/>
      <c r="D4" s="101" t="n"/>
      <c r="E4" s="101" t="n"/>
      <c r="L4" s="102" t="n"/>
    </row>
    <row r="5" hidden="1" outlineLevel="1" ht="14.5" customHeight="1">
      <c r="B5" s="100" t="n"/>
      <c r="C5" s="101" t="n"/>
      <c r="D5" s="101" t="n"/>
      <c r="E5" s="101" t="n"/>
      <c r="L5" s="102" t="n"/>
    </row>
    <row r="6" hidden="1" outlineLevel="1" ht="19.4" customHeight="1">
      <c r="A6" s="103" t="n"/>
      <c r="B6" s="104" t="inlineStr">
        <is>
          <t>This procedure template is designed for use in conjunction with the relevant KPMG Clara workflow activity screen and substantive procedure from the KPMG Clara workflow library</t>
        </is>
      </c>
      <c r="C6" s="103" t="n"/>
      <c r="D6" s="103" t="n"/>
      <c r="E6" s="103" t="n"/>
      <c r="F6" s="103" t="n"/>
      <c r="G6" s="103" t="n"/>
      <c r="H6" s="103" t="n"/>
      <c r="I6" s="103" t="n"/>
      <c r="J6" s="103" t="n"/>
      <c r="K6" s="103" t="n"/>
      <c r="L6" s="105" t="n"/>
      <c r="M6" s="103" t="n"/>
      <c r="N6" s="106" t="n"/>
      <c r="O6" s="106" t="n"/>
      <c r="P6" s="106" t="n"/>
      <c r="Q6" s="106" t="n"/>
      <c r="R6" s="106" t="n"/>
      <c r="S6" s="106" t="n"/>
      <c r="T6" s="106" t="n"/>
      <c r="U6" s="107" t="n"/>
      <c r="V6" s="107" t="n"/>
      <c r="W6" s="108" t="n"/>
      <c r="X6" s="108" t="n"/>
    </row>
    <row r="7" hidden="1" outlineLevel="1" ht="16.5" customHeight="1">
      <c r="A7" s="103" t="n"/>
      <c r="B7" s="104" t="inlineStr">
        <is>
          <t>The engagement team determines whether additional tick marks, other notations and/or additional information are relevant to document on this procedure template based on any custom steps that were added to the substantive procedure and/or the results obtained from performing the testing steps.</t>
        </is>
      </c>
      <c r="C7" s="103" t="n"/>
      <c r="D7" s="103" t="n"/>
      <c r="E7" s="103" t="n"/>
      <c r="F7" s="103" t="n"/>
      <c r="G7" s="103" t="n"/>
      <c r="H7" s="103" t="n"/>
      <c r="I7" s="103" t="n"/>
      <c r="J7" s="103" t="n"/>
      <c r="K7" s="103" t="n"/>
      <c r="L7" s="105" t="n"/>
      <c r="M7" s="103" t="n"/>
      <c r="N7" s="106" t="n"/>
      <c r="O7" s="106" t="n"/>
      <c r="P7" s="106" t="n"/>
      <c r="Q7" s="106" t="n"/>
      <c r="R7" s="106" t="n"/>
      <c r="S7" s="106" t="n"/>
      <c r="T7" s="106" t="n"/>
      <c r="U7" s="107" t="n"/>
      <c r="V7" s="107" t="n"/>
      <c r="W7" s="108" t="n"/>
      <c r="X7" s="108" t="n"/>
    </row>
    <row r="8" hidden="1" outlineLevel="1" ht="14" customHeight="1">
      <c r="B8" s="100" t="n"/>
      <c r="C8" s="109" t="n"/>
      <c r="D8" s="109" t="n"/>
      <c r="E8" s="109" t="n"/>
      <c r="L8" s="110" t="n"/>
    </row>
    <row r="9" hidden="1" outlineLevel="1" ht="29" customHeight="1">
      <c r="B9" s="111" t="inlineStr">
        <is>
          <t>Procedure reference id
 程序索引号</t>
        </is>
      </c>
      <c r="F9" s="112" t="inlineStr">
        <is>
          <t>SPD03014</t>
        </is>
      </c>
      <c r="G9" s="113" t="n"/>
      <c r="H9" s="114" t="n"/>
      <c r="I9" s="114" t="n"/>
      <c r="J9" s="114" t="n"/>
      <c r="K9" s="115" t="inlineStr">
        <is>
          <t>SAP的折旧费 拆到3012
折旧和工资是固定成本 其他是变动成本</t>
        </is>
      </c>
    </row>
    <row r="10" hidden="1" outlineLevel="1" ht="14.5" customHeight="1">
      <c r="B10" s="116" t="inlineStr">
        <is>
          <t xml:space="preserve">Currency 币种 </t>
        </is>
      </c>
      <c r="F10" s="117" t="inlineStr">
        <is>
          <t>Rmb
人民币</t>
        </is>
      </c>
      <c r="G10" s="113" t="n"/>
      <c r="H10" s="118" t="n"/>
      <c r="I10" s="118" t="n"/>
      <c r="J10" s="118" t="n"/>
    </row>
    <row r="11" hidden="1" outlineLevel="1" ht="29" customHeight="1">
      <c r="B11" s="119" t="inlineStr">
        <is>
          <t>Unit (e.g. 000s, millions) 单位（例如千、百万）</t>
        </is>
      </c>
      <c r="F11" s="120" t="inlineStr">
        <is>
          <t xml:space="preserve"> </t>
        </is>
      </c>
      <c r="G11" s="121" t="n"/>
    </row>
    <row r="12" hidden="1" outlineLevel="1" ht="14.5" customHeight="1">
      <c r="B12" s="116" t="n"/>
      <c r="F12" s="12" t="n"/>
      <c r="G12" s="12" t="n"/>
      <c r="H12" s="114" t="n"/>
      <c r="I12" s="114" t="n"/>
      <c r="J12" s="114" t="n"/>
    </row>
    <row r="13" hidden="1" outlineLevel="1" ht="14.5" customHeight="1">
      <c r="B13" s="116" t="n"/>
      <c r="F13" s="12" t="n"/>
      <c r="G13" s="12" t="n"/>
      <c r="H13" s="118" t="n"/>
      <c r="I13" s="118" t="n"/>
      <c r="J13" s="118" t="n"/>
    </row>
    <row r="14" hidden="1" outlineLevel="1" ht="14.5" customHeight="1">
      <c r="B14" s="116" t="inlineStr">
        <is>
          <t>Period start date 期间开始日</t>
        </is>
      </c>
      <c r="F14" s="122" t="n">
        <v>45292</v>
      </c>
      <c r="G14" s="123" t="n"/>
    </row>
    <row r="15" hidden="1" outlineLevel="1" ht="14.5" customHeight="1">
      <c r="B15" s="116" t="inlineStr">
        <is>
          <t>Period end date 期间截止日</t>
        </is>
      </c>
      <c r="F15" s="122" t="n">
        <v>45657</v>
      </c>
      <c r="G15" s="123" t="n"/>
    </row>
    <row r="16" hidden="1" outlineLevel="1" ht="13" customHeight="1">
      <c r="C16" s="124" t="n"/>
      <c r="D16" s="124" t="n"/>
      <c r="E16" s="124" t="n"/>
      <c r="F16" s="125" t="n"/>
      <c r="G16" s="125" t="n"/>
    </row>
    <row r="17" hidden="1" outlineLevel="1" ht="12.65" customHeight="1">
      <c r="A17" s="126" t="n"/>
      <c r="B17" s="127" t="inlineStr">
        <is>
          <t>Dates in this procedure template follow the international format dd/mm/yyyy. This includes the dates used in the formula for the recalculation.</t>
        </is>
      </c>
      <c r="F17" s="128" t="n"/>
      <c r="G17" s="128" t="n"/>
      <c r="H17" s="127" t="n"/>
      <c r="I17" s="127" t="n"/>
      <c r="J17" s="127" t="n"/>
      <c r="K17" s="127" t="n"/>
      <c r="L17" s="129" t="n"/>
      <c r="M17" s="128" t="n"/>
      <c r="N17" s="128" t="n"/>
      <c r="O17" s="128" t="n"/>
      <c r="P17" s="130" t="n"/>
      <c r="Q17" s="130" t="n"/>
      <c r="R17" s="130" t="n"/>
      <c r="S17" s="130" t="n"/>
      <c r="T17" s="130" t="n"/>
    </row>
    <row r="18" hidden="1" outlineLevel="1" ht="25.4" customHeight="1">
      <c r="A18" s="126" t="n"/>
      <c r="B18" s="127" t="inlineStr">
        <is>
          <t>If the sample size for the substantive procedure is greater than the number of rows in the table below, copy and paste rows rather than inserting blank rows, to ensure that the formulas and pick-list options flow down to all rows.</t>
        </is>
      </c>
      <c r="O18" s="131" t="n"/>
    </row>
    <row r="19" hidden="1" ht="25.4" customHeight="1">
      <c r="A19" s="126" t="n"/>
      <c r="B19" s="132" t="inlineStr">
        <is>
          <t>Table A: Vouch expense to relevant documents and assess the if the absorption rates are reasonable. 成本差异重新计算，检查费用/支出至相关文件以及评估分配率是否合理。</t>
        </is>
      </c>
      <c r="L19" s="133" t="n"/>
    </row>
    <row r="20" ht="74" customHeight="1">
      <c r="B20" s="134" t="inlineStr">
        <is>
          <t>Per fixed costs of conversion sub-ledger
基于固定加工成本明细账</t>
        </is>
      </c>
      <c r="C20" s="218" t="n"/>
      <c r="D20" s="218" t="n"/>
      <c r="E20" s="218" t="n"/>
      <c r="F20" s="218" t="n"/>
      <c r="G20" s="218" t="n"/>
      <c r="H20" s="218" t="n"/>
      <c r="I20" s="218" t="n"/>
      <c r="J20" s="218" t="n"/>
      <c r="K20" s="219" t="n"/>
      <c r="L20" s="134" t="inlineStr">
        <is>
          <t>Recalculate the cost variance
重新计算成本差异</t>
        </is>
      </c>
      <c r="M20" s="219" t="n"/>
      <c r="N20" s="134" t="inlineStr">
        <is>
          <t>Per production report
基于生产报告</t>
        </is>
      </c>
      <c r="O20" s="219" t="n"/>
      <c r="P20" s="134" t="inlineStr">
        <is>
          <t>Recalculate the labor and overhead variance absorption rates
重新计算人工和/或间接费用差异分配率</t>
        </is>
      </c>
      <c r="Q20" s="219" t="n"/>
      <c r="R20" s="135" t="inlineStr">
        <is>
          <t>a. Per relevant documentation
基于相关文件</t>
        </is>
      </c>
      <c r="S20" s="218" t="n"/>
      <c r="T20" s="218" t="n"/>
      <c r="U20" s="219" t="n"/>
      <c r="V20" s="135" t="inlineStr">
        <is>
          <t>Testing steps
测试步骤</t>
        </is>
      </c>
      <c r="W20" s="218" t="n"/>
      <c r="X20" s="219" t="n"/>
    </row>
    <row r="21" ht="155" customHeight="1">
      <c r="B21" s="134" t="inlineStr">
        <is>
          <t>Sample #
样本编号</t>
        </is>
      </c>
      <c r="C21" s="136" t="inlineStr">
        <is>
          <t>Product ID #
产品ID编号</t>
        </is>
      </c>
      <c r="D21" s="137" t="inlineStr">
        <is>
          <t>Cost center
成本中心</t>
        </is>
      </c>
      <c r="E21" s="136" t="inlineStr">
        <is>
          <t>Order ID #
生产订单ID编号</t>
        </is>
      </c>
      <c r="F21" s="134" t="inlineStr">
        <is>
          <t>Nature of the expense
费用性质</t>
        </is>
      </c>
      <c r="G21" s="134" t="inlineStr">
        <is>
          <t xml:space="preserve"> Acutal Labor hours
实际工时数</t>
        </is>
      </c>
      <c r="H21" s="134" t="inlineStr">
        <is>
          <t>Standard cost amount
标准成本金额</t>
        </is>
      </c>
      <c r="I21" s="134" t="inlineStr">
        <is>
          <t xml:space="preserve"> Acutal cost amount
实际成本金额</t>
        </is>
      </c>
      <c r="J21" s="138" t="inlineStr">
        <is>
          <t>Cost variance amount
成本差异金额</t>
        </is>
      </c>
      <c r="K21" s="139" t="inlineStr">
        <is>
          <t xml:space="preserve"> 人工和/或间接费用单位工时分配率labor and overhead  absorption rates per labor hour 
</t>
        </is>
      </c>
      <c r="L21" s="140" t="inlineStr">
        <is>
          <t xml:space="preserve">实际应分摊至该存货的成本差异金额Actual cost variance to be allocated to the inventory
</t>
        </is>
      </c>
      <c r="M21" s="141" t="inlineStr">
        <is>
          <t>Variance
差异</t>
        </is>
      </c>
      <c r="N21" s="142" t="inlineStr">
        <is>
          <t>Acutal labor hours
实际人工小时数</t>
        </is>
      </c>
      <c r="O21" s="141" t="inlineStr">
        <is>
          <t xml:space="preserve">
间接费用分配率</t>
        </is>
      </c>
      <c r="P21" s="134" t="inlineStr">
        <is>
          <t>Actual labor and overhead variance absorption rates
实际人工和/或间接费用差异分配率</t>
        </is>
      </c>
      <c r="Q21" s="141" t="inlineStr">
        <is>
          <t>Variance
差异</t>
        </is>
      </c>
      <c r="R21" s="134" t="inlineStr">
        <is>
          <t>Document reference #
文件索引号</t>
        </is>
      </c>
      <c r="S21" s="134" t="inlineStr">
        <is>
          <t>Document type
文件类型</t>
        </is>
      </c>
      <c r="T21" s="134" t="inlineStr">
        <is>
          <t>Actual amount/ actual labor hours
实际金额/ 实际人工小时</t>
        </is>
      </c>
      <c r="U21" s="134" t="inlineStr">
        <is>
          <t>[Other RDE, if applicable (please specify)
其他相关数据要素，如适用（请注明）]</t>
        </is>
      </c>
      <c r="V21" s="143" t="inlineStr">
        <is>
          <t>Step 1. Vouch the fixed direct or indirect labor or production overhead cost to relevant documentation.
检查固定直接或间接人工或间接生产费用至相关文件。</t>
        </is>
      </c>
      <c r="W21" s="134" t="inlineStr">
        <is>
          <t xml:space="preserve">Step 3a. Evaluate the reasonableness of the approach of allocating the fixed direct and indirect labor or production overheads included within inventory as at the period end.
评价期末记入存货的固定直接和间接人工或间接生产费用的分摊方法是否合理
</t>
        </is>
      </c>
      <c r="X21" s="141" t="inlineStr">
        <is>
          <t>Step 3b. Assess whether the approach results in a systematic allocation of the labor/fixed overheads to the manufactured goods, based on actual production levels if actual production approximates normal capacity.
若实际生产接近正常产能，则根据实际生产水平，评估使用该方法能否使人工/固定间接费用系统地分配到制成品</t>
        </is>
      </c>
      <c r="Y21" s="134" t="inlineStr">
        <is>
          <t>Notes 注释</t>
        </is>
      </c>
      <c r="Z21" s="144" t="inlineStr">
        <is>
          <t>Learning points</t>
        </is>
      </c>
    </row>
    <row r="22" ht="98" customHeight="1">
      <c r="B22" s="145" t="inlineStr">
        <is>
          <t>Formula key</t>
        </is>
      </c>
      <c r="C22" s="146" t="n"/>
      <c r="D22" s="147" t="n"/>
      <c r="E22" s="146" t="n"/>
      <c r="F22" s="148" t="n"/>
      <c r="G22" s="149" t="inlineStr">
        <is>
          <t>A=CO03-实际总计数量</t>
        </is>
      </c>
      <c r="H22" s="149" t="inlineStr">
        <is>
          <t>B-CO03- 全部计划成本</t>
        </is>
      </c>
      <c r="I22" s="149" t="inlineStr">
        <is>
          <t>C-CO03-         总的实际成本</t>
        </is>
      </c>
      <c r="J22" s="149" t="inlineStr">
        <is>
          <t>D-CO03-计划/实际成本差异</t>
        </is>
      </c>
      <c r="K22" s="149" t="inlineStr">
        <is>
          <t>E-KSBT实际作业单价</t>
        </is>
      </c>
      <c r="L22" s="149" t="inlineStr">
        <is>
          <t>F=C实际成本金额/H实际人工小时数*A实际工时数-B标准成本金额</t>
        </is>
      </c>
      <c r="M22" s="149" t="inlineStr">
        <is>
          <t>G=F-D</t>
        </is>
      </c>
      <c r="N22" s="149" t="inlineStr">
        <is>
          <t>H</t>
        </is>
      </c>
      <c r="O22" s="149" t="n"/>
      <c r="P22" s="149" t="inlineStr">
        <is>
          <t>I= 3611-实际总金额/3611-实际总工时</t>
        </is>
      </c>
      <c r="Q22" s="149" t="inlineStr">
        <is>
          <t>J= E-I</t>
        </is>
      </c>
      <c r="R22" s="150" t="n"/>
      <c r="S22" s="150" t="n"/>
      <c r="T22" s="150" t="n"/>
      <c r="U22" s="150" t="n"/>
      <c r="V22" s="151" t="n"/>
      <c r="W22" s="151" t="n"/>
      <c r="X22" s="151" t="n"/>
      <c r="Y22" s="152" t="n"/>
      <c r="Z22" s="153" t="inlineStr">
        <is>
          <t>1. If the entity is unable to provide the "A list of fixed direct or indirect labour and production overhead costs during the period", engagement teams can summarize and sort out the debit amount of production costs sub-ledger to work out the population to be tested.
2. Engagement teams are required to understand the whole process from the collection of costs to distribution costs through walkthrough or inquiry, observation, inspection. While performing this procedure, teams need to track the whole process according to the entity's distribution logic. While deciding the test unit, the smallest distribution unit in the inventory list should be treated as sampling units.
3. While selecting samples to test, engagement teams need to select the samples that may be associated with risks of material misstatements (such as some departments, orders, etc.) based on the risk assessment results.
4. If the engagement team involves IT Audit to test the distribution logic of the entity, even after IT Audit reaches a conclusion on whether the distribution formula has been consistently used throughout the year and whether the distribution is accurate, the engagement team should still test whether the distribution logic has been consistently used and the data used in the distribution and draw a conclusion due to the data used may be associated with RMMs.
5. While inspecting the absorption rates, the engagement team needs to know what standard the entity uses to allocate the costs. For example, when using actual labour hours for allocation, the engagement team can inspect related timesheet and check the actual labour hours to verify whether the allocation rate calculated by the entity using the correct actual labour hours.
6.The engagement team needs to pay attention to check the reasonableness of the variance allocation rate, including inquiry of the management on how to set the variance allocation rate, whether there are official documents, and whether variance allocation rate is consistently used. If the variance allocation rate needs to be adjusted, whether the entity has approved the revised variance allocation rate in accordance with the approval process. The management has no allocation process or the allocation was inaccurate, which is the process most likely to cause misstatement. For this risk, as it directly affects the accuracy of the amount recorded in the inventory balance in BS and the cost of goods sold account in PL, the management has a high risk of failure in the control of no allocation process or inaccurate allocation, so this control point may be the most critical control point in the inventory process. in response, control testing and substantive procedures are adopted to ensure that there is no risk of material misstatement in this process.
1. 若被审计单位无法提供“本年固定直接或间接人工和间接生产费用清单”，可以将生产成本的借方金额汇总并进行整理，筛选出需要测试的总体金额。
2. 应通过穿行测试等了解从归集到分配的整个过程，在执行本程序时，应按照客户的分配逻辑追踪整个过程，并且测试单元应将存货清单中的最小分配单元作为抽样单元进行测试。
3. 在选取样本时，应结合分析程序，选择可能存在重大错报风险的样本（如某些车间、订单等）
4. 若项目组利用IT Audit对被审计单位的分配逻辑进行测试，即使在IT Audit对分配公式在全年是否一贯使用及分配是否准确得出结论后，由于使用的数据可能存在重大错报风险， 项目组仍应对分配逻辑是否一贯使用以及在分配中使用的数据进行测试并得出相应结论。
5. 在对分配率进行抽凭时，项目组需要了解被审计单位按照什么标准对费用进行分配，例如，使用实际人工工时进行分配时，项目组可以抽取相关的工单并查看实际发生的用工工时，以验证被审计单位使用实际工时计算的分配率是否准确。                                                                                                                                                                                                     6. 项目组需要关注对分配率的合理性进行检查，包括询问管理层如何设置合理的分配率，是否有正式文件，以及是否一贯使用该分配率。若分配率需要调整，被审计单位是否按照既定的审核规定进行批准审核。管理层没有分摊或者分摊不准确，是最有可能发生错报环节的流程。对于该风险，由于其直接影响BS中的存货科目、以及PL中的营业成本科目列报金额的准确性，管理层没有分摊或者分摊不准确这一控制的失效风险很高，所以该控制点可能是存货流程中最关键的控制点，在应对上采用控制测试加实质性程序的方式，确保该流程不存在重大错报风险。</t>
        </is>
      </c>
    </row>
    <row r="23" outlineLevel="1" ht="16" customHeight="1">
      <c r="B23" s="220" t="inlineStr">
        <is>
          <t>样本1</t>
        </is>
      </c>
      <c r="C23" s="155">
        <f>'SPD03012-IRM(SAP)'!C103</f>
        <v/>
      </c>
      <c r="D23" s="156">
        <f>'SPD03012-IRM(SAP)'!D103</f>
        <v/>
      </c>
      <c r="E23" s="155">
        <f>'SPD03012-IRM(SAP)'!E103</f>
        <v/>
      </c>
      <c r="F23" s="155" t="inlineStr">
        <is>
          <t>间接人工</t>
        </is>
      </c>
      <c r="G23" s="157">
        <f>'CO03'!H51</f>
        <v/>
      </c>
      <c r="H23" s="157">
        <f>'CO03'!E52</f>
        <v/>
      </c>
      <c r="I23" s="157">
        <f>'CO03'!F52</f>
        <v/>
      </c>
      <c r="J23" s="157">
        <f>'CO03'!G52</f>
        <v/>
      </c>
      <c r="K23" s="158">
        <f>KSBT!Z20</f>
        <v/>
      </c>
      <c r="L23" s="159">
        <f>I23/N23*G23-H23</f>
        <v/>
      </c>
      <c r="M23" s="160">
        <f>L23-J23</f>
        <v/>
      </c>
      <c r="N23" s="157">
        <f>G23</f>
        <v/>
      </c>
      <c r="O23" s="157" t="inlineStr">
        <is>
          <t>不适用</t>
        </is>
      </c>
      <c r="P23" s="160">
        <f>'3611'!AB17</f>
        <v/>
      </c>
      <c r="Q23" s="161">
        <f>P23-K23</f>
        <v/>
      </c>
      <c r="R23" s="162" t="inlineStr">
        <is>
          <t>SPD03014_SPP_2-制造费用费率配置表</t>
        </is>
      </c>
      <c r="S23" s="158" t="inlineStr">
        <is>
          <t>截屏类电子文件【Electronic document】</t>
        </is>
      </c>
      <c r="T23" s="158">
        <f>N23</f>
        <v/>
      </c>
      <c r="U23" s="163" t="inlineStr">
        <is>
          <t>制造费用费率manufacturing overhead cost rate</t>
        </is>
      </c>
      <c r="V23" s="164" t="inlineStr">
        <is>
          <t>Agrees相符</t>
        </is>
      </c>
      <c r="W23" s="164" t="inlineStr">
        <is>
          <t>Reasonable合理</t>
        </is>
      </c>
      <c r="X23" s="164" t="inlineStr">
        <is>
          <t>Yes是</t>
        </is>
      </c>
      <c r="Y23" s="165" t="n"/>
      <c r="Z23" s="153" t="n"/>
    </row>
    <row r="24" outlineLevel="1" ht="16" customHeight="1">
      <c r="B24" s="221" t="n"/>
      <c r="C24" s="221" t="n"/>
      <c r="D24" s="221" t="n"/>
      <c r="E24" s="221" t="n"/>
      <c r="F24" s="221" t="n"/>
      <c r="G24" s="221" t="n"/>
      <c r="H24" s="221" t="n"/>
      <c r="I24" s="221" t="n"/>
      <c r="J24" s="221" t="n"/>
      <c r="K24" s="221" t="n"/>
      <c r="L24" s="222" t="n"/>
      <c r="M24" s="222" t="n"/>
      <c r="N24" s="221" t="n"/>
      <c r="O24" s="221" t="n"/>
      <c r="P24" s="222" t="n"/>
      <c r="Q24" s="222" t="n"/>
      <c r="R24" s="162" t="inlineStr">
        <is>
          <t>SPD03014_SPP_3-成本中心、成本要素、成本要素组对应关系配置表</t>
        </is>
      </c>
      <c r="S24" s="158" t="inlineStr">
        <is>
          <t>截屏类电子文件【Electronic document】</t>
        </is>
      </c>
      <c r="T24" s="221" t="n"/>
      <c r="U24" s="163" t="inlineStr">
        <is>
          <t>成本中心编码/名称Cost centres ID/Name
成本要素编码/名称cost elements ID/Name
成本要素组编码/名称cost element groups ID/Name</t>
        </is>
      </c>
      <c r="V24" s="164" t="inlineStr">
        <is>
          <t>N/A不适用</t>
        </is>
      </c>
      <c r="W24" s="164" t="inlineStr">
        <is>
          <t>Not selected未选</t>
        </is>
      </c>
      <c r="X24" s="164" t="inlineStr">
        <is>
          <t>N/A不适用</t>
        </is>
      </c>
      <c r="Y24" s="165" t="n"/>
      <c r="Z24" s="153" t="n"/>
    </row>
    <row r="25" ht="16" customHeight="1">
      <c r="B25" s="221" t="n"/>
      <c r="C25" s="221" t="n"/>
      <c r="D25" s="221" t="n"/>
      <c r="E25" s="221" t="n"/>
      <c r="F25" s="221" t="n"/>
      <c r="G25" s="221" t="n"/>
      <c r="H25" s="221" t="n"/>
      <c r="I25" s="221" t="n"/>
      <c r="J25" s="221" t="n"/>
      <c r="K25" s="221" t="n"/>
      <c r="L25" s="222" t="n"/>
      <c r="M25" s="222" t="n"/>
      <c r="N25" s="221" t="n"/>
      <c r="O25" s="221" t="n"/>
      <c r="P25" s="222" t="n"/>
      <c r="Q25" s="222" t="n"/>
      <c r="R25" s="162" t="inlineStr">
        <is>
          <t>SPD03014_SPP_4-辅助生产费用分摊权重数配置表</t>
        </is>
      </c>
      <c r="S25" s="158" t="inlineStr">
        <is>
          <t>截屏类电子文件【Electronic document】</t>
        </is>
      </c>
      <c r="T25" s="221" t="n"/>
      <c r="U25" s="163" t="inlineStr">
        <is>
          <t>辅助生产费用分摊权重数Numbers of weights for the allocation of auxiliary production costs</t>
        </is>
      </c>
      <c r="V25" s="164" t="inlineStr">
        <is>
          <t>N/A不适用</t>
        </is>
      </c>
      <c r="W25" s="164" t="inlineStr">
        <is>
          <t>Not selected未选</t>
        </is>
      </c>
      <c r="X25" s="164" t="inlineStr">
        <is>
          <t>N/A不适用</t>
        </is>
      </c>
      <c r="Y25" s="165" t="n"/>
      <c r="Z25" s="153" t="n"/>
    </row>
    <row r="26" ht="16" customHeight="1">
      <c r="B26" s="221" t="n"/>
      <c r="C26" s="221" t="n"/>
      <c r="D26" s="221" t="n"/>
      <c r="E26" s="221" t="n"/>
      <c r="F26" s="221" t="n"/>
      <c r="G26" s="221" t="n"/>
      <c r="H26" s="221" t="n"/>
      <c r="I26" s="221" t="n"/>
      <c r="J26" s="221" t="n"/>
      <c r="K26" s="221" t="n"/>
      <c r="L26" s="222" t="n"/>
      <c r="M26" s="222" t="n"/>
      <c r="N26" s="221" t="n"/>
      <c r="O26" s="221" t="n"/>
      <c r="P26" s="222" t="n"/>
      <c r="Q26" s="222" t="n"/>
      <c r="R26" s="162" t="inlineStr">
        <is>
          <t>SPD03014_SPP_5-实际定额工时配置表</t>
        </is>
      </c>
      <c r="S26" s="158" t="inlineStr">
        <is>
          <t>截屏类电子文件【Electronic document】</t>
        </is>
      </c>
      <c r="T26" s="221" t="n"/>
      <c r="U26" s="163" t="inlineStr">
        <is>
          <t>实际定额工时Actual rated hours</t>
        </is>
      </c>
      <c r="V26" s="164" t="inlineStr">
        <is>
          <t>Agrees相符</t>
        </is>
      </c>
      <c r="W26" s="164" t="inlineStr">
        <is>
          <t>Reasonable合理</t>
        </is>
      </c>
      <c r="X26" s="164" t="inlineStr">
        <is>
          <t>Yes是</t>
        </is>
      </c>
      <c r="Y26" s="165" t="n"/>
      <c r="Z26" s="153" t="n"/>
    </row>
    <row r="27" ht="16" customHeight="1">
      <c r="B27" s="221" t="n"/>
      <c r="C27" s="221" t="n"/>
      <c r="D27" s="221" t="n"/>
      <c r="E27" s="221" t="n"/>
      <c r="F27" s="221" t="n"/>
      <c r="G27" s="221" t="n"/>
      <c r="H27" s="221" t="n"/>
      <c r="I27" s="221" t="n"/>
      <c r="J27" s="221" t="n"/>
      <c r="K27" s="221" t="n"/>
      <c r="L27" s="222" t="n"/>
      <c r="M27" s="222" t="n"/>
      <c r="N27" s="221" t="n"/>
      <c r="O27" s="221" t="n"/>
      <c r="P27" s="222" t="n"/>
      <c r="Q27" s="222" t="n"/>
      <c r="R27" s="162" t="inlineStr">
        <is>
          <t>SPD03014_SPP_6-&lt;CO03_成本分析&gt;表</t>
        </is>
      </c>
      <c r="S27" s="158" t="inlineStr">
        <is>
          <t>清单类电子数据【Electronic data】</t>
        </is>
      </c>
      <c r="T27" s="221" t="n"/>
      <c r="U27" s="163" t="inlineStr">
        <is>
          <t>完工数量Completed quantity
实际成本[“总的实际成本”]Actual cost ["total actual cost"]</t>
        </is>
      </c>
      <c r="V27" s="164" t="inlineStr">
        <is>
          <t>Agrees相符</t>
        </is>
      </c>
      <c r="W27" s="164" t="inlineStr">
        <is>
          <t>Reasonable合理</t>
        </is>
      </c>
      <c r="X27" s="164" t="inlineStr">
        <is>
          <t>Yes是</t>
        </is>
      </c>
      <c r="Y27" s="165" t="n"/>
      <c r="Z27" s="153" t="n"/>
    </row>
    <row r="28" ht="16" customHeight="1">
      <c r="B28" s="223" t="n"/>
      <c r="C28" s="223" t="n"/>
      <c r="D28" s="223" t="n"/>
      <c r="E28" s="223" t="n"/>
      <c r="F28" s="223" t="n"/>
      <c r="G28" s="223" t="n"/>
      <c r="H28" s="223" t="n"/>
      <c r="I28" s="223" t="n"/>
      <c r="J28" s="223" t="n"/>
      <c r="K28" s="223" t="n"/>
      <c r="L28" s="224" t="n"/>
      <c r="M28" s="224" t="n"/>
      <c r="N28" s="223" t="n"/>
      <c r="O28" s="223" t="n"/>
      <c r="P28" s="224" t="n"/>
      <c r="Q28" s="224" t="n"/>
      <c r="R28" s="162" t="inlineStr">
        <is>
          <t>SPD03014_SPP_7-工艺路线配置表</t>
        </is>
      </c>
      <c r="S28" s="158" t="inlineStr">
        <is>
          <t>截屏类电子文件【Electronic document】</t>
        </is>
      </c>
      <c r="T28" s="223" t="n"/>
      <c r="U28" s="163" t="inlineStr">
        <is>
          <t>工序编码/名称Process Route ID/Name
工序数量Process Route Quantity</t>
        </is>
      </c>
      <c r="V28" s="164" t="inlineStr">
        <is>
          <t>N/A不适用</t>
        </is>
      </c>
      <c r="W28" s="164" t="inlineStr">
        <is>
          <t>Not selected未选</t>
        </is>
      </c>
      <c r="X28" s="164" t="inlineStr">
        <is>
          <t>N/A不适用</t>
        </is>
      </c>
      <c r="Y28" s="165" t="n"/>
      <c r="Z28" s="153" t="n"/>
    </row>
    <row r="29" outlineLevel="1" ht="16" customHeight="1">
      <c r="B29" s="220" t="inlineStr">
        <is>
          <t>样本1</t>
        </is>
      </c>
      <c r="C29" s="155" t="n">
        <v>11000177</v>
      </c>
      <c r="D29" s="156" t="inlineStr">
        <is>
          <t>1100P00001</t>
        </is>
      </c>
      <c r="E29" s="155" t="n">
        <v>11000437</v>
      </c>
      <c r="F29" s="155" t="inlineStr">
        <is>
          <t>能耗</t>
        </is>
      </c>
      <c r="G29" s="157">
        <f>G23</f>
        <v/>
      </c>
      <c r="H29" s="157">
        <f>'CO03'!E54</f>
        <v/>
      </c>
      <c r="I29" s="158">
        <f>'CO03'!F54</f>
        <v/>
      </c>
      <c r="J29" s="158">
        <f>'CO03'!G54</f>
        <v/>
      </c>
      <c r="K29" s="158">
        <f>KSBT!Z22</f>
        <v/>
      </c>
      <c r="L29" s="166">
        <f>I29/N29*G29-H29</f>
        <v/>
      </c>
      <c r="M29" s="160">
        <f>L29-J29</f>
        <v/>
      </c>
      <c r="N29" s="157">
        <f>G29</f>
        <v/>
      </c>
      <c r="O29" s="157" t="inlineStr">
        <is>
          <t>不适用</t>
        </is>
      </c>
      <c r="P29" s="160">
        <f>'3611'!AB19</f>
        <v/>
      </c>
      <c r="Q29" s="161">
        <f>P29-K29</f>
        <v/>
      </c>
      <c r="R29" s="162" t="inlineStr">
        <is>
          <t>SPD03014_SPP_2-制造费用费率配置表</t>
        </is>
      </c>
      <c r="S29" s="158" t="inlineStr">
        <is>
          <t>截屏类电子文件【Electronic document】</t>
        </is>
      </c>
      <c r="T29" s="158">
        <f>N29</f>
        <v/>
      </c>
      <c r="U29" s="163" t="inlineStr">
        <is>
          <t>制造费用费率manufacturing overhead cost rate</t>
        </is>
      </c>
      <c r="V29" s="164" t="inlineStr">
        <is>
          <t>Agrees相符</t>
        </is>
      </c>
      <c r="W29" s="164" t="inlineStr">
        <is>
          <t>Reasonable合理</t>
        </is>
      </c>
      <c r="X29" s="164" t="inlineStr">
        <is>
          <t>Yes是</t>
        </is>
      </c>
      <c r="Y29" s="165" t="n"/>
      <c r="Z29" s="153" t="n"/>
    </row>
    <row r="30" outlineLevel="1" ht="16" customHeight="1">
      <c r="B30" s="221" t="n"/>
      <c r="C30" s="221" t="n"/>
      <c r="D30" s="221" t="n"/>
      <c r="E30" s="221" t="n"/>
      <c r="F30" s="221" t="n"/>
      <c r="G30" s="221" t="n"/>
      <c r="H30" s="221" t="n"/>
      <c r="I30" s="221" t="n"/>
      <c r="J30" s="221" t="n"/>
      <c r="K30" s="221" t="n"/>
      <c r="L30" s="222" t="n"/>
      <c r="M30" s="222" t="n"/>
      <c r="N30" s="221" t="n"/>
      <c r="O30" s="221" t="n"/>
      <c r="P30" s="222" t="n"/>
      <c r="Q30" s="222" t="n"/>
      <c r="R30" s="162" t="inlineStr">
        <is>
          <t>SPD03014_SPP_3-成本中心、成本要素、成本要素组对应关系配置表</t>
        </is>
      </c>
      <c r="S30" s="158" t="inlineStr">
        <is>
          <t>截屏类电子文件【Electronic document】</t>
        </is>
      </c>
      <c r="T30" s="221" t="n"/>
      <c r="U30" s="163" t="inlineStr">
        <is>
          <t>成本中心编码/名称Cost centres ID/Name
成本要素编码/名称cost elements ID/Name
成本要素组编码/名称cost element groups ID/Name</t>
        </is>
      </c>
      <c r="V30" s="164" t="inlineStr">
        <is>
          <t>N/A不适用</t>
        </is>
      </c>
      <c r="W30" s="164" t="inlineStr">
        <is>
          <t>Not selected未选</t>
        </is>
      </c>
      <c r="X30" s="164" t="inlineStr">
        <is>
          <t>N/A不适用</t>
        </is>
      </c>
      <c r="Y30" s="165" t="n"/>
      <c r="Z30" s="153" t="n"/>
    </row>
    <row r="31" ht="16" customHeight="1">
      <c r="B31" s="221" t="n"/>
      <c r="C31" s="221" t="n"/>
      <c r="D31" s="221" t="n"/>
      <c r="E31" s="221" t="n"/>
      <c r="F31" s="221" t="n"/>
      <c r="G31" s="221" t="n"/>
      <c r="H31" s="221" t="n"/>
      <c r="I31" s="221" t="n"/>
      <c r="J31" s="221" t="n"/>
      <c r="K31" s="221" t="n"/>
      <c r="L31" s="222" t="n"/>
      <c r="M31" s="222" t="n"/>
      <c r="N31" s="221" t="n"/>
      <c r="O31" s="221" t="n"/>
      <c r="P31" s="222" t="n"/>
      <c r="Q31" s="222" t="n"/>
      <c r="R31" s="162" t="inlineStr">
        <is>
          <t>SPD03014_SPP_4-辅助生产费用分摊权重数配置表</t>
        </is>
      </c>
      <c r="S31" s="158" t="inlineStr">
        <is>
          <t>截屏类电子文件【Electronic document】</t>
        </is>
      </c>
      <c r="T31" s="221" t="n"/>
      <c r="U31" s="163" t="inlineStr">
        <is>
          <t>辅助生产费用分摊权重数Numbers of weights for the allocation of auxiliary production costs</t>
        </is>
      </c>
      <c r="V31" s="164" t="inlineStr">
        <is>
          <t>N/A不适用</t>
        </is>
      </c>
      <c r="W31" s="164" t="inlineStr">
        <is>
          <t>Not selected未选</t>
        </is>
      </c>
      <c r="X31" s="164" t="inlineStr">
        <is>
          <t>N/A不适用</t>
        </is>
      </c>
      <c r="Y31" s="165" t="n"/>
      <c r="Z31" s="153" t="n"/>
    </row>
    <row r="32" ht="16" customHeight="1">
      <c r="B32" s="221" t="n"/>
      <c r="C32" s="221" t="n"/>
      <c r="D32" s="221" t="n"/>
      <c r="E32" s="221" t="n"/>
      <c r="F32" s="221" t="n"/>
      <c r="G32" s="221" t="n"/>
      <c r="H32" s="221" t="n"/>
      <c r="I32" s="221" t="n"/>
      <c r="J32" s="221" t="n"/>
      <c r="K32" s="221" t="n"/>
      <c r="L32" s="222" t="n"/>
      <c r="M32" s="222" t="n"/>
      <c r="N32" s="221" t="n"/>
      <c r="O32" s="221" t="n"/>
      <c r="P32" s="222" t="n"/>
      <c r="Q32" s="222" t="n"/>
      <c r="R32" s="162" t="inlineStr">
        <is>
          <t>SPD03014_SPP_5-实际定额工时配置表</t>
        </is>
      </c>
      <c r="S32" s="158" t="inlineStr">
        <is>
          <t>截屏类电子文件【Electronic document】</t>
        </is>
      </c>
      <c r="T32" s="221" t="n"/>
      <c r="U32" s="163" t="inlineStr">
        <is>
          <t>实际定额工时Actual rated hours</t>
        </is>
      </c>
      <c r="V32" s="164" t="inlineStr">
        <is>
          <t>Agrees相符</t>
        </is>
      </c>
      <c r="W32" s="164" t="inlineStr">
        <is>
          <t>Reasonable合理</t>
        </is>
      </c>
      <c r="X32" s="164" t="inlineStr">
        <is>
          <t>Yes是</t>
        </is>
      </c>
      <c r="Y32" s="165" t="n"/>
      <c r="Z32" s="153" t="n"/>
    </row>
    <row r="33" ht="16" customHeight="1">
      <c r="B33" s="221" t="n"/>
      <c r="C33" s="221" t="n"/>
      <c r="D33" s="221" t="n"/>
      <c r="E33" s="221" t="n"/>
      <c r="F33" s="221" t="n"/>
      <c r="G33" s="221" t="n"/>
      <c r="H33" s="221" t="n"/>
      <c r="I33" s="221" t="n"/>
      <c r="J33" s="221" t="n"/>
      <c r="K33" s="221" t="n"/>
      <c r="L33" s="222" t="n"/>
      <c r="M33" s="222" t="n"/>
      <c r="N33" s="221" t="n"/>
      <c r="O33" s="221" t="n"/>
      <c r="P33" s="222" t="n"/>
      <c r="Q33" s="222" t="n"/>
      <c r="R33" s="162" t="inlineStr">
        <is>
          <t>SPD03014_SPP_6-&lt;CO03_成本分析&gt;表</t>
        </is>
      </c>
      <c r="S33" s="158" t="inlineStr">
        <is>
          <t>清单类电子数据【Electronic data】</t>
        </is>
      </c>
      <c r="T33" s="221" t="n"/>
      <c r="U33" s="163" t="inlineStr">
        <is>
          <t>完工数量Completed quantity
实际成本[“总的实际成本”]Actual cost ["total actual cost"]</t>
        </is>
      </c>
      <c r="V33" s="164" t="inlineStr">
        <is>
          <t>Agrees相符</t>
        </is>
      </c>
      <c r="W33" s="164" t="inlineStr">
        <is>
          <t>Reasonable合理</t>
        </is>
      </c>
      <c r="X33" s="164" t="inlineStr">
        <is>
          <t>Yes是</t>
        </is>
      </c>
      <c r="Y33" s="165" t="n"/>
      <c r="Z33" s="153" t="n"/>
    </row>
    <row r="34" ht="16" customHeight="1">
      <c r="B34" s="223" t="n"/>
      <c r="C34" s="223" t="n"/>
      <c r="D34" s="223" t="n"/>
      <c r="E34" s="223" t="n"/>
      <c r="F34" s="223" t="n"/>
      <c r="G34" s="223" t="n"/>
      <c r="H34" s="223" t="n"/>
      <c r="I34" s="223" t="n"/>
      <c r="J34" s="223" t="n"/>
      <c r="K34" s="223" t="n"/>
      <c r="L34" s="224" t="n"/>
      <c r="M34" s="224" t="n"/>
      <c r="N34" s="223" t="n"/>
      <c r="O34" s="223" t="n"/>
      <c r="P34" s="224" t="n"/>
      <c r="Q34" s="224" t="n"/>
      <c r="R34" s="162" t="inlineStr">
        <is>
          <t>SPD03014_SPP_7-工艺路线配置表</t>
        </is>
      </c>
      <c r="S34" s="158" t="inlineStr">
        <is>
          <t>截屏类电子文件【Electronic document】</t>
        </is>
      </c>
      <c r="T34" s="223" t="n"/>
      <c r="U34" s="163" t="inlineStr">
        <is>
          <t>工序编码/名称Process Route ID/Name
工序数量Process Route Quantity</t>
        </is>
      </c>
      <c r="V34" s="164" t="inlineStr">
        <is>
          <t>N/A不适用</t>
        </is>
      </c>
      <c r="W34" s="164" t="inlineStr">
        <is>
          <t>Not selected未选</t>
        </is>
      </c>
      <c r="X34" s="164" t="inlineStr">
        <is>
          <t>N/A不适用</t>
        </is>
      </c>
      <c r="Y34" s="165" t="n"/>
      <c r="Z34" s="153" t="n"/>
    </row>
    <row r="35" outlineLevel="1" ht="16" customHeight="1">
      <c r="B35" s="220" t="inlineStr">
        <is>
          <t>样本1</t>
        </is>
      </c>
      <c r="C35" s="155" t="n">
        <v>11000177</v>
      </c>
      <c r="D35" s="156" t="inlineStr">
        <is>
          <t>1100P00001</t>
        </is>
      </c>
      <c r="E35" s="155" t="n">
        <v>11000437</v>
      </c>
      <c r="F35" s="155" t="inlineStr">
        <is>
          <t>低值易耗</t>
        </is>
      </c>
      <c r="G35" s="157">
        <f>G29</f>
        <v/>
      </c>
      <c r="H35" s="157">
        <f>'CO03'!E55</f>
        <v/>
      </c>
      <c r="I35" s="157">
        <f>'CO03'!F55</f>
        <v/>
      </c>
      <c r="J35" s="157">
        <f>'CO03'!G55</f>
        <v/>
      </c>
      <c r="K35" s="158">
        <f>KSBT!Z23</f>
        <v/>
      </c>
      <c r="L35" s="159">
        <f>I35/N35*G35-H35</f>
        <v/>
      </c>
      <c r="M35" s="160">
        <f>L35-J35</f>
        <v/>
      </c>
      <c r="N35" s="157">
        <f>G35</f>
        <v/>
      </c>
      <c r="O35" s="157" t="inlineStr">
        <is>
          <t>不适用</t>
        </is>
      </c>
      <c r="P35" s="160">
        <f>'3611'!AB20</f>
        <v/>
      </c>
      <c r="Q35" s="161">
        <f>P35-K35</f>
        <v/>
      </c>
      <c r="R35" s="162" t="inlineStr">
        <is>
          <t>SPD03014_SPP_2-制造费用费率配置表</t>
        </is>
      </c>
      <c r="S35" s="158" t="inlineStr">
        <is>
          <t>截屏类电子文件【Electronic document】</t>
        </is>
      </c>
      <c r="T35" s="158">
        <f>N35</f>
        <v/>
      </c>
      <c r="U35" s="163" t="inlineStr">
        <is>
          <t>制造费用费率manufacturing overhead cost rate</t>
        </is>
      </c>
      <c r="V35" s="164" t="inlineStr">
        <is>
          <t>Agrees相符</t>
        </is>
      </c>
      <c r="W35" s="164" t="inlineStr">
        <is>
          <t>Reasonable合理</t>
        </is>
      </c>
      <c r="X35" s="164" t="inlineStr">
        <is>
          <t>Yes是</t>
        </is>
      </c>
      <c r="Y35" s="165" t="n"/>
      <c r="Z35" s="153" t="n"/>
    </row>
    <row r="36" outlineLevel="1" ht="16" customHeight="1">
      <c r="B36" s="221" t="n"/>
      <c r="C36" s="221" t="n"/>
      <c r="D36" s="221" t="n"/>
      <c r="E36" s="221" t="n"/>
      <c r="F36" s="221" t="n"/>
      <c r="G36" s="221" t="n"/>
      <c r="H36" s="221" t="n"/>
      <c r="I36" s="221" t="n"/>
      <c r="J36" s="221" t="n"/>
      <c r="K36" s="221" t="n"/>
      <c r="L36" s="222" t="n"/>
      <c r="M36" s="222" t="n"/>
      <c r="N36" s="221" t="n"/>
      <c r="O36" s="221" t="n"/>
      <c r="P36" s="222" t="n"/>
      <c r="Q36" s="222" t="n"/>
      <c r="R36" s="162" t="inlineStr">
        <is>
          <t>SPD03014_SPP_3-成本中心、成本要素、成本要素组对应关系配置表</t>
        </is>
      </c>
      <c r="S36" s="158" t="inlineStr">
        <is>
          <t>截屏类电子文件【Electronic document】</t>
        </is>
      </c>
      <c r="T36" s="221" t="n"/>
      <c r="U36" s="163" t="inlineStr">
        <is>
          <t>成本中心编码/名称Cost centres ID/Name
成本要素编码/名称cost elements ID/Name
成本要素组编码/名称cost element groups ID/Name</t>
        </is>
      </c>
      <c r="V36" s="164" t="inlineStr">
        <is>
          <t>N/A不适用</t>
        </is>
      </c>
      <c r="W36" s="164" t="inlineStr">
        <is>
          <t>Not selected未选</t>
        </is>
      </c>
      <c r="X36" s="164" t="inlineStr">
        <is>
          <t>N/A不适用</t>
        </is>
      </c>
      <c r="Y36" s="165" t="n"/>
      <c r="Z36" s="153" t="n"/>
    </row>
    <row r="37" ht="16" customHeight="1">
      <c r="B37" s="221" t="n"/>
      <c r="C37" s="221" t="n"/>
      <c r="D37" s="221" t="n"/>
      <c r="E37" s="221" t="n"/>
      <c r="F37" s="221" t="n"/>
      <c r="G37" s="221" t="n"/>
      <c r="H37" s="221" t="n"/>
      <c r="I37" s="221" t="n"/>
      <c r="J37" s="221" t="n"/>
      <c r="K37" s="221" t="n"/>
      <c r="L37" s="222" t="n"/>
      <c r="M37" s="222" t="n"/>
      <c r="N37" s="221" t="n"/>
      <c r="O37" s="221" t="n"/>
      <c r="P37" s="222" t="n"/>
      <c r="Q37" s="222" t="n"/>
      <c r="R37" s="162" t="inlineStr">
        <is>
          <t>SPD03014_SPP_4-辅助生产费用分摊权重数配置表</t>
        </is>
      </c>
      <c r="S37" s="158" t="inlineStr">
        <is>
          <t>截屏类电子文件【Electronic document】</t>
        </is>
      </c>
      <c r="T37" s="221" t="n"/>
      <c r="U37" s="163" t="inlineStr">
        <is>
          <t>辅助生产费用分摊权重数Numbers of weights for the allocation of auxiliary production costs</t>
        </is>
      </c>
      <c r="V37" s="164" t="inlineStr">
        <is>
          <t>N/A不适用</t>
        </is>
      </c>
      <c r="W37" s="164" t="inlineStr">
        <is>
          <t>Not selected未选</t>
        </is>
      </c>
      <c r="X37" s="164" t="inlineStr">
        <is>
          <t>N/A不适用</t>
        </is>
      </c>
      <c r="Y37" s="165" t="n"/>
      <c r="Z37" s="153" t="n"/>
    </row>
    <row r="38" ht="16" customHeight="1">
      <c r="B38" s="221" t="n"/>
      <c r="C38" s="221" t="n"/>
      <c r="D38" s="221" t="n"/>
      <c r="E38" s="221" t="n"/>
      <c r="F38" s="221" t="n"/>
      <c r="G38" s="221" t="n"/>
      <c r="H38" s="221" t="n"/>
      <c r="I38" s="221" t="n"/>
      <c r="J38" s="221" t="n"/>
      <c r="K38" s="221" t="n"/>
      <c r="L38" s="222" t="n"/>
      <c r="M38" s="222" t="n"/>
      <c r="N38" s="221" t="n"/>
      <c r="O38" s="221" t="n"/>
      <c r="P38" s="222" t="n"/>
      <c r="Q38" s="222" t="n"/>
      <c r="R38" s="162" t="inlineStr">
        <is>
          <t>SPD03014_SPP_5-实际定额工时配置表</t>
        </is>
      </c>
      <c r="S38" s="158" t="inlineStr">
        <is>
          <t>截屏类电子文件【Electronic document】</t>
        </is>
      </c>
      <c r="T38" s="221" t="n"/>
      <c r="U38" s="163" t="inlineStr">
        <is>
          <t>实际定额工时Actual rated hours</t>
        </is>
      </c>
      <c r="V38" s="164" t="inlineStr">
        <is>
          <t>Agrees相符</t>
        </is>
      </c>
      <c r="W38" s="164" t="inlineStr">
        <is>
          <t>Reasonable合理</t>
        </is>
      </c>
      <c r="X38" s="164" t="inlineStr">
        <is>
          <t>Yes是</t>
        </is>
      </c>
      <c r="Y38" s="165" t="n"/>
      <c r="Z38" s="153" t="n"/>
    </row>
    <row r="39" ht="16" customHeight="1">
      <c r="B39" s="221" t="n"/>
      <c r="C39" s="221" t="n"/>
      <c r="D39" s="221" t="n"/>
      <c r="E39" s="221" t="n"/>
      <c r="F39" s="221" t="n"/>
      <c r="G39" s="221" t="n"/>
      <c r="H39" s="221" t="n"/>
      <c r="I39" s="221" t="n"/>
      <c r="J39" s="221" t="n"/>
      <c r="K39" s="221" t="n"/>
      <c r="L39" s="222" t="n"/>
      <c r="M39" s="222" t="n"/>
      <c r="N39" s="221" t="n"/>
      <c r="O39" s="221" t="n"/>
      <c r="P39" s="222" t="n"/>
      <c r="Q39" s="222" t="n"/>
      <c r="R39" s="162" t="inlineStr">
        <is>
          <t>SPD03014_SPP_6-&lt;CO03_成本分析&gt;表</t>
        </is>
      </c>
      <c r="S39" s="158" t="inlineStr">
        <is>
          <t>清单类电子数据【Electronic data】</t>
        </is>
      </c>
      <c r="T39" s="221" t="n"/>
      <c r="U39" s="163" t="inlineStr">
        <is>
          <t>完工数量Completed quantity
实际成本[“总的实际成本”]Actual cost ["total actual cost"]</t>
        </is>
      </c>
      <c r="V39" s="164" t="inlineStr">
        <is>
          <t>Agrees相符</t>
        </is>
      </c>
      <c r="W39" s="164" t="inlineStr">
        <is>
          <t>Reasonable合理</t>
        </is>
      </c>
      <c r="X39" s="164" t="inlineStr">
        <is>
          <t>Yes是</t>
        </is>
      </c>
      <c r="Y39" s="165" t="n"/>
      <c r="Z39" s="153" t="n"/>
    </row>
    <row r="40" ht="16" customHeight="1">
      <c r="B40" s="223" t="n"/>
      <c r="C40" s="223" t="n"/>
      <c r="D40" s="223" t="n"/>
      <c r="E40" s="223" t="n"/>
      <c r="F40" s="223" t="n"/>
      <c r="G40" s="223" t="n"/>
      <c r="H40" s="223" t="n"/>
      <c r="I40" s="223" t="n"/>
      <c r="J40" s="223" t="n"/>
      <c r="K40" s="223" t="n"/>
      <c r="L40" s="224" t="n"/>
      <c r="M40" s="224" t="n"/>
      <c r="N40" s="223" t="n"/>
      <c r="O40" s="223" t="n"/>
      <c r="P40" s="224" t="n"/>
      <c r="Q40" s="224" t="n"/>
      <c r="R40" s="162" t="inlineStr">
        <is>
          <t>SPD03014_SPP_7-工艺路线配置表</t>
        </is>
      </c>
      <c r="S40" s="158" t="inlineStr">
        <is>
          <t>截屏类电子文件【Electronic document】</t>
        </is>
      </c>
      <c r="T40" s="223" t="n"/>
      <c r="U40" s="163" t="inlineStr">
        <is>
          <t>工序编码/名称Process Route ID/Name
工序数量Process Route Quantity</t>
        </is>
      </c>
      <c r="V40" s="164" t="inlineStr">
        <is>
          <t>N/A不适用</t>
        </is>
      </c>
      <c r="W40" s="164" t="inlineStr">
        <is>
          <t>Not selected未选</t>
        </is>
      </c>
      <c r="X40" s="164" t="inlineStr">
        <is>
          <t>N/A不适用</t>
        </is>
      </c>
      <c r="Y40" s="165" t="n"/>
      <c r="Z40" s="153" t="n"/>
    </row>
    <row r="41" outlineLevel="1" ht="16" customHeight="1">
      <c r="B41" s="220" t="inlineStr">
        <is>
          <t>样本1</t>
        </is>
      </c>
      <c r="C41" s="155" t="n">
        <v>11000177</v>
      </c>
      <c r="D41" s="156" t="inlineStr">
        <is>
          <t>1100P00001</t>
        </is>
      </c>
      <c r="E41" s="155" t="n">
        <v>11000437</v>
      </c>
      <c r="F41" s="155" t="inlineStr">
        <is>
          <t>其他</t>
        </is>
      </c>
      <c r="G41" s="157">
        <f>G35</f>
        <v/>
      </c>
      <c r="H41" s="157">
        <f>'CO03'!E56</f>
        <v/>
      </c>
      <c r="I41" s="157">
        <f>'CO03'!F56</f>
        <v/>
      </c>
      <c r="J41" s="157">
        <f>'CO03'!G56</f>
        <v/>
      </c>
      <c r="K41" s="158">
        <f>KSBT!Z24</f>
        <v/>
      </c>
      <c r="L41" s="159">
        <f>I41/N41*G41-H41</f>
        <v/>
      </c>
      <c r="M41" s="160">
        <f>L41-J41</f>
        <v/>
      </c>
      <c r="N41" s="157">
        <f>G41</f>
        <v/>
      </c>
      <c r="O41" s="157" t="inlineStr">
        <is>
          <t>不适用</t>
        </is>
      </c>
      <c r="P41" s="160">
        <f>'3611'!AB21</f>
        <v/>
      </c>
      <c r="Q41" s="161">
        <f>P41-K41</f>
        <v/>
      </c>
      <c r="R41" s="162" t="inlineStr">
        <is>
          <t>SPD03014_SPP_2-制造费用费率配置表</t>
        </is>
      </c>
      <c r="S41" s="158" t="inlineStr">
        <is>
          <t>截屏类电子文件【Electronic document】</t>
        </is>
      </c>
      <c r="T41" s="158">
        <f>N41</f>
        <v/>
      </c>
      <c r="U41" s="163" t="inlineStr">
        <is>
          <t>制造费用费率manufacturing overhead cost rate</t>
        </is>
      </c>
      <c r="V41" s="164" t="inlineStr">
        <is>
          <t>Agrees相符</t>
        </is>
      </c>
      <c r="W41" s="164" t="inlineStr">
        <is>
          <t>Reasonable合理</t>
        </is>
      </c>
      <c r="X41" s="164" t="inlineStr">
        <is>
          <t>Yes是</t>
        </is>
      </c>
      <c r="Y41" s="165" t="n"/>
      <c r="Z41" s="153" t="n"/>
    </row>
    <row r="42" outlineLevel="1" ht="16" customHeight="1">
      <c r="B42" s="221" t="n"/>
      <c r="C42" s="221" t="n"/>
      <c r="D42" s="221" t="n"/>
      <c r="E42" s="221" t="n"/>
      <c r="F42" s="221" t="n"/>
      <c r="G42" s="221" t="n"/>
      <c r="H42" s="221" t="n"/>
      <c r="I42" s="221" t="n"/>
      <c r="J42" s="221" t="n"/>
      <c r="K42" s="221" t="n"/>
      <c r="L42" s="222" t="n"/>
      <c r="M42" s="222" t="n"/>
      <c r="N42" s="221" t="n"/>
      <c r="O42" s="221" t="n"/>
      <c r="P42" s="222" t="n"/>
      <c r="Q42" s="222" t="n"/>
      <c r="R42" s="162" t="inlineStr">
        <is>
          <t>SPD03014_SPP_3-成本中心、成本要素、成本要素组对应关系配置表</t>
        </is>
      </c>
      <c r="S42" s="158" t="inlineStr">
        <is>
          <t>截屏类电子文件【Electronic document】</t>
        </is>
      </c>
      <c r="T42" s="221" t="n"/>
      <c r="U42" s="163" t="inlineStr">
        <is>
          <t>成本中心编码/名称Cost centres ID/Name
成本要素编码/名称cost elements ID/Name
成本要素组编码/名称cost element groups ID/Name</t>
        </is>
      </c>
      <c r="V42" s="164" t="inlineStr">
        <is>
          <t>N/A不适用</t>
        </is>
      </c>
      <c r="W42" s="164" t="inlineStr">
        <is>
          <t>Not selected未选</t>
        </is>
      </c>
      <c r="X42" s="164" t="inlineStr">
        <is>
          <t>N/A不适用</t>
        </is>
      </c>
      <c r="Y42" s="165" t="n"/>
      <c r="Z42" s="153" t="n"/>
    </row>
    <row r="43" ht="16" customHeight="1">
      <c r="B43" s="221" t="n"/>
      <c r="C43" s="221" t="n"/>
      <c r="D43" s="221" t="n"/>
      <c r="E43" s="221" t="n"/>
      <c r="F43" s="221" t="n"/>
      <c r="G43" s="221" t="n"/>
      <c r="H43" s="221" t="n"/>
      <c r="I43" s="221" t="n"/>
      <c r="J43" s="221" t="n"/>
      <c r="K43" s="221" t="n"/>
      <c r="L43" s="222" t="n"/>
      <c r="M43" s="222" t="n"/>
      <c r="N43" s="221" t="n"/>
      <c r="O43" s="221" t="n"/>
      <c r="P43" s="222" t="n"/>
      <c r="Q43" s="222" t="n"/>
      <c r="R43" s="162" t="inlineStr">
        <is>
          <t>SPD03014_SPP_4-辅助生产费用分摊权重数配置表</t>
        </is>
      </c>
      <c r="S43" s="158" t="inlineStr">
        <is>
          <t>截屏类电子文件【Electronic document】</t>
        </is>
      </c>
      <c r="T43" s="221" t="n"/>
      <c r="U43" s="163" t="inlineStr">
        <is>
          <t>辅助生产费用分摊权重数Numbers of weights for the allocation of auxiliary production costs</t>
        </is>
      </c>
      <c r="V43" s="164" t="inlineStr">
        <is>
          <t>N/A不适用</t>
        </is>
      </c>
      <c r="W43" s="164" t="inlineStr">
        <is>
          <t>Not selected未选</t>
        </is>
      </c>
      <c r="X43" s="164" t="inlineStr">
        <is>
          <t>N/A不适用</t>
        </is>
      </c>
      <c r="Y43" s="165" t="n"/>
      <c r="Z43" s="153" t="n"/>
    </row>
    <row r="44" ht="16" customHeight="1">
      <c r="B44" s="221" t="n"/>
      <c r="C44" s="221" t="n"/>
      <c r="D44" s="221" t="n"/>
      <c r="E44" s="221" t="n"/>
      <c r="F44" s="221" t="n"/>
      <c r="G44" s="221" t="n"/>
      <c r="H44" s="221" t="n"/>
      <c r="I44" s="221" t="n"/>
      <c r="J44" s="221" t="n"/>
      <c r="K44" s="221" t="n"/>
      <c r="L44" s="222" t="n"/>
      <c r="M44" s="222" t="n"/>
      <c r="N44" s="221" t="n"/>
      <c r="O44" s="221" t="n"/>
      <c r="P44" s="222" t="n"/>
      <c r="Q44" s="222" t="n"/>
      <c r="R44" s="162" t="inlineStr">
        <is>
          <t>SPD03014_SPP_5-实际定额工时配置表</t>
        </is>
      </c>
      <c r="S44" s="158" t="inlineStr">
        <is>
          <t>截屏类电子文件【Electronic document】</t>
        </is>
      </c>
      <c r="T44" s="221" t="n"/>
      <c r="U44" s="163" t="inlineStr">
        <is>
          <t>实际定额工时Actual rated hours</t>
        </is>
      </c>
      <c r="V44" s="164" t="inlineStr">
        <is>
          <t>Agrees相符</t>
        </is>
      </c>
      <c r="W44" s="164" t="inlineStr">
        <is>
          <t>Reasonable合理</t>
        </is>
      </c>
      <c r="X44" s="164" t="inlineStr">
        <is>
          <t>Yes是</t>
        </is>
      </c>
      <c r="Y44" s="165" t="n"/>
      <c r="Z44" s="153" t="n"/>
    </row>
    <row r="45" ht="16" customHeight="1">
      <c r="B45" s="221" t="n"/>
      <c r="C45" s="221" t="n"/>
      <c r="D45" s="221" t="n"/>
      <c r="E45" s="221" t="n"/>
      <c r="F45" s="221" t="n"/>
      <c r="G45" s="221" t="n"/>
      <c r="H45" s="221" t="n"/>
      <c r="I45" s="221" t="n"/>
      <c r="J45" s="221" t="n"/>
      <c r="K45" s="221" t="n"/>
      <c r="L45" s="222" t="n"/>
      <c r="M45" s="222" t="n"/>
      <c r="N45" s="221" t="n"/>
      <c r="O45" s="221" t="n"/>
      <c r="P45" s="222" t="n"/>
      <c r="Q45" s="222" t="n"/>
      <c r="R45" s="162" t="inlineStr">
        <is>
          <t>SPD03014_SPP_6-&lt;CO03_成本分析&gt;表</t>
        </is>
      </c>
      <c r="S45" s="158" t="inlineStr">
        <is>
          <t>清单类电子数据【Electronic data】</t>
        </is>
      </c>
      <c r="T45" s="221" t="n"/>
      <c r="U45" s="163" t="inlineStr">
        <is>
          <t>完工数量Completed quantity
实际成本[“总的实际成本”]Actual cost ["total actual cost"]</t>
        </is>
      </c>
      <c r="V45" s="164" t="inlineStr">
        <is>
          <t>Agrees相符</t>
        </is>
      </c>
      <c r="W45" s="164" t="inlineStr">
        <is>
          <t>Reasonable合理</t>
        </is>
      </c>
      <c r="X45" s="164" t="inlineStr">
        <is>
          <t>Yes是</t>
        </is>
      </c>
      <c r="Y45" s="165" t="n"/>
      <c r="Z45" s="153" t="n"/>
    </row>
    <row r="46" ht="16" customHeight="1">
      <c r="B46" s="223" t="n"/>
      <c r="C46" s="223" t="n"/>
      <c r="D46" s="223" t="n"/>
      <c r="E46" s="223" t="n"/>
      <c r="F46" s="223" t="n"/>
      <c r="G46" s="223" t="n"/>
      <c r="H46" s="223" t="n"/>
      <c r="I46" s="223" t="n"/>
      <c r="J46" s="223" t="n"/>
      <c r="K46" s="223" t="n"/>
      <c r="L46" s="224" t="n"/>
      <c r="M46" s="224" t="n"/>
      <c r="N46" s="223" t="n"/>
      <c r="O46" s="223" t="n"/>
      <c r="P46" s="224" t="n"/>
      <c r="Q46" s="224" t="n"/>
      <c r="R46" s="162" t="inlineStr">
        <is>
          <t>SPD03014_SPP_7-工艺路线配置表</t>
        </is>
      </c>
      <c r="S46" s="158" t="inlineStr">
        <is>
          <t>截屏类电子文件【Electronic document】</t>
        </is>
      </c>
      <c r="T46" s="223" t="n"/>
      <c r="U46" s="163" t="inlineStr">
        <is>
          <t>工序编码/名称Process Route ID/Name
工序数量Process Route Quantity</t>
        </is>
      </c>
      <c r="V46" s="164" t="inlineStr">
        <is>
          <t>N/A不适用</t>
        </is>
      </c>
      <c r="W46" s="164" t="inlineStr">
        <is>
          <t>Not selected未选</t>
        </is>
      </c>
      <c r="X46" s="164" t="inlineStr">
        <is>
          <t>N/A不适用</t>
        </is>
      </c>
      <c r="Y46" s="165" t="n"/>
      <c r="Z46" s="153" t="n"/>
    </row>
    <row r="47" outlineLevel="1" ht="16" customHeight="1">
      <c r="B47" s="220" t="inlineStr">
        <is>
          <t>样本2</t>
        </is>
      </c>
      <c r="C47" s="155">
        <f>'SPD03012-IRM(SAP)'!C105</f>
        <v/>
      </c>
      <c r="D47" s="156">
        <f>'SPD03012-IRM(SAP)'!D105</f>
        <v/>
      </c>
      <c r="E47" s="155" t="n">
        <v>11000027</v>
      </c>
      <c r="F47" s="155" t="inlineStr">
        <is>
          <t>间接人工</t>
        </is>
      </c>
      <c r="G47" s="157">
        <f>'CO03'!H111</f>
        <v/>
      </c>
      <c r="H47" s="158">
        <f>'CO03'!E112</f>
        <v/>
      </c>
      <c r="I47" s="158">
        <f>'CO03'!F112</f>
        <v/>
      </c>
      <c r="J47" s="158">
        <f>'CO03'!G112</f>
        <v/>
      </c>
      <c r="K47" s="158">
        <f>KSBT!Z70</f>
        <v/>
      </c>
      <c r="L47" s="167">
        <f>0*G47-H47</f>
        <v/>
      </c>
      <c r="M47" s="160">
        <f>L47-J47</f>
        <v/>
      </c>
      <c r="N47" s="157">
        <f>G47</f>
        <v/>
      </c>
      <c r="O47" s="157" t="inlineStr">
        <is>
          <t>不适用</t>
        </is>
      </c>
      <c r="P47" s="160">
        <f>'3611'!AB72</f>
        <v/>
      </c>
      <c r="Q47" s="161">
        <f>P47-K47</f>
        <v/>
      </c>
      <c r="R47" s="162" t="inlineStr">
        <is>
          <t>SPD03014_SPP_2-制造费用费率配置表</t>
        </is>
      </c>
      <c r="S47" s="158" t="inlineStr">
        <is>
          <t>截屏类电子文件【Electronic document】</t>
        </is>
      </c>
      <c r="T47" s="158">
        <f>N47</f>
        <v/>
      </c>
      <c r="U47" s="163" t="inlineStr">
        <is>
          <t>制造费用费率manufacturing overhead cost rate</t>
        </is>
      </c>
      <c r="V47" s="164" t="inlineStr">
        <is>
          <t>Agrees相符</t>
        </is>
      </c>
      <c r="W47" s="164" t="inlineStr">
        <is>
          <t>Reasonable合理</t>
        </is>
      </c>
      <c r="X47" s="164" t="inlineStr">
        <is>
          <t>Yes是</t>
        </is>
      </c>
      <c r="Y47" s="165" t="n"/>
      <c r="Z47" s="153" t="n"/>
    </row>
    <row r="48" outlineLevel="1" ht="16" customHeight="1">
      <c r="B48" s="221" t="n"/>
      <c r="C48" s="221" t="n"/>
      <c r="D48" s="221" t="n"/>
      <c r="E48" s="221" t="n"/>
      <c r="F48" s="221" t="n"/>
      <c r="G48" s="221" t="n"/>
      <c r="H48" s="221" t="n"/>
      <c r="I48" s="221" t="n"/>
      <c r="J48" s="221" t="n"/>
      <c r="K48" s="221" t="n"/>
      <c r="L48" s="222" t="n"/>
      <c r="M48" s="222" t="n"/>
      <c r="N48" s="221" t="n"/>
      <c r="O48" s="221" t="n"/>
      <c r="P48" s="222" t="n"/>
      <c r="Q48" s="222" t="n"/>
      <c r="R48" s="162" t="inlineStr">
        <is>
          <t>SPD03014_SPP_3-成本中心、成本要素、成本要素组对应关系配置表</t>
        </is>
      </c>
      <c r="S48" s="158" t="inlineStr">
        <is>
          <t>截屏类电子文件【Electronic document】</t>
        </is>
      </c>
      <c r="T48" s="221" t="n"/>
      <c r="U48" s="163" t="inlineStr">
        <is>
          <t>成本中心编码/名称Cost centres ID/Name
成本要素编码/名称cost elements ID/Name
成本要素组编码/名称cost element groups ID/Name</t>
        </is>
      </c>
      <c r="V48" s="164" t="inlineStr">
        <is>
          <t>N/A不适用</t>
        </is>
      </c>
      <c r="W48" s="164" t="inlineStr">
        <is>
          <t>Not selected未选</t>
        </is>
      </c>
      <c r="X48" s="164" t="inlineStr">
        <is>
          <t>N/A不适用</t>
        </is>
      </c>
      <c r="Y48" s="165" t="n"/>
      <c r="Z48" s="153" t="n"/>
    </row>
    <row r="49" ht="16" customHeight="1">
      <c r="B49" s="221" t="n"/>
      <c r="C49" s="221" t="n"/>
      <c r="D49" s="221" t="n"/>
      <c r="E49" s="221" t="n"/>
      <c r="F49" s="221" t="n"/>
      <c r="G49" s="221" t="n"/>
      <c r="H49" s="221" t="n"/>
      <c r="I49" s="221" t="n"/>
      <c r="J49" s="221" t="n"/>
      <c r="K49" s="221" t="n"/>
      <c r="L49" s="222" t="n"/>
      <c r="M49" s="222" t="n"/>
      <c r="N49" s="221" t="n"/>
      <c r="O49" s="221" t="n"/>
      <c r="P49" s="222" t="n"/>
      <c r="Q49" s="222" t="n"/>
      <c r="R49" s="162" t="inlineStr">
        <is>
          <t>SPD03014_SPP_4-辅助生产费用分摊权重数配置表</t>
        </is>
      </c>
      <c r="S49" s="158" t="inlineStr">
        <is>
          <t>截屏类电子文件【Electronic document】</t>
        </is>
      </c>
      <c r="T49" s="221" t="n"/>
      <c r="U49" s="163" t="inlineStr">
        <is>
          <t>辅助生产费用分摊权重数Numbers of weights for the allocation of auxiliary production costs</t>
        </is>
      </c>
      <c r="V49" s="164" t="inlineStr">
        <is>
          <t>N/A不适用</t>
        </is>
      </c>
      <c r="W49" s="164" t="inlineStr">
        <is>
          <t>Not selected未选</t>
        </is>
      </c>
      <c r="X49" s="164" t="inlineStr">
        <is>
          <t>N/A不适用</t>
        </is>
      </c>
      <c r="Y49" s="165" t="n"/>
      <c r="Z49" s="153" t="n"/>
    </row>
    <row r="50" ht="16" customHeight="1">
      <c r="B50" s="221" t="n"/>
      <c r="C50" s="221" t="n"/>
      <c r="D50" s="221" t="n"/>
      <c r="E50" s="221" t="n"/>
      <c r="F50" s="221" t="n"/>
      <c r="G50" s="221" t="n"/>
      <c r="H50" s="221" t="n"/>
      <c r="I50" s="221" t="n"/>
      <c r="J50" s="221" t="n"/>
      <c r="K50" s="221" t="n"/>
      <c r="L50" s="222" t="n"/>
      <c r="M50" s="222" t="n"/>
      <c r="N50" s="221" t="n"/>
      <c r="O50" s="221" t="n"/>
      <c r="P50" s="222" t="n"/>
      <c r="Q50" s="222" t="n"/>
      <c r="R50" s="162" t="inlineStr">
        <is>
          <t>SPD03014_SPP_5-实际定额工时配置表</t>
        </is>
      </c>
      <c r="S50" s="158" t="inlineStr">
        <is>
          <t>截屏类电子文件【Electronic document】</t>
        </is>
      </c>
      <c r="T50" s="221" t="n"/>
      <c r="U50" s="163" t="inlineStr">
        <is>
          <t>实际定额工时Actual rated hours</t>
        </is>
      </c>
      <c r="V50" s="164" t="inlineStr">
        <is>
          <t>Agrees相符</t>
        </is>
      </c>
      <c r="W50" s="164" t="inlineStr">
        <is>
          <t>Reasonable合理</t>
        </is>
      </c>
      <c r="X50" s="164" t="inlineStr">
        <is>
          <t>Yes是</t>
        </is>
      </c>
      <c r="Y50" s="165" t="n"/>
      <c r="Z50" s="153" t="n"/>
    </row>
    <row r="51" ht="16" customHeight="1">
      <c r="B51" s="221" t="n"/>
      <c r="C51" s="221" t="n"/>
      <c r="D51" s="221" t="n"/>
      <c r="E51" s="221" t="n"/>
      <c r="F51" s="221" t="n"/>
      <c r="G51" s="221" t="n"/>
      <c r="H51" s="221" t="n"/>
      <c r="I51" s="221" t="n"/>
      <c r="J51" s="221" t="n"/>
      <c r="K51" s="221" t="n"/>
      <c r="L51" s="222" t="n"/>
      <c r="M51" s="222" t="n"/>
      <c r="N51" s="221" t="n"/>
      <c r="O51" s="221" t="n"/>
      <c r="P51" s="222" t="n"/>
      <c r="Q51" s="222" t="n"/>
      <c r="R51" s="162" t="inlineStr">
        <is>
          <t>SPD03014_SPP_6-&lt;CO03_成本分析&gt;表</t>
        </is>
      </c>
      <c r="S51" s="158" t="inlineStr">
        <is>
          <t>清单类电子数据【Electronic data】</t>
        </is>
      </c>
      <c r="T51" s="221" t="n"/>
      <c r="U51" s="163" t="inlineStr">
        <is>
          <t>完工数量Completed quantity
实际成本[“总的实际成本”]Actual cost ["total actual cost"]</t>
        </is>
      </c>
      <c r="V51" s="164" t="inlineStr">
        <is>
          <t>Agrees相符</t>
        </is>
      </c>
      <c r="W51" s="164" t="inlineStr">
        <is>
          <t>Reasonable合理</t>
        </is>
      </c>
      <c r="X51" s="164" t="inlineStr">
        <is>
          <t>Yes是</t>
        </is>
      </c>
      <c r="Y51" s="165" t="n"/>
      <c r="Z51" s="153" t="n"/>
    </row>
    <row r="52" ht="16" customHeight="1">
      <c r="B52" s="223" t="n"/>
      <c r="C52" s="223" t="n"/>
      <c r="D52" s="223" t="n"/>
      <c r="E52" s="223" t="n"/>
      <c r="F52" s="223" t="n"/>
      <c r="G52" s="223" t="n"/>
      <c r="H52" s="223" t="n"/>
      <c r="I52" s="223" t="n"/>
      <c r="J52" s="223" t="n"/>
      <c r="K52" s="223" t="n"/>
      <c r="L52" s="224" t="n"/>
      <c r="M52" s="224" t="n"/>
      <c r="N52" s="223" t="n"/>
      <c r="O52" s="223" t="n"/>
      <c r="P52" s="224" t="n"/>
      <c r="Q52" s="224" t="n"/>
      <c r="R52" s="162" t="inlineStr">
        <is>
          <t>SPD03014_SPP_7-工艺路线配置表</t>
        </is>
      </c>
      <c r="S52" s="158" t="inlineStr">
        <is>
          <t>截屏类电子文件【Electronic document】</t>
        </is>
      </c>
      <c r="T52" s="223" t="n"/>
      <c r="U52" s="163" t="inlineStr">
        <is>
          <t>工序编码/名称Process Route ID/Name
工序数量Process Route Quantity</t>
        </is>
      </c>
      <c r="V52" s="164" t="inlineStr">
        <is>
          <t>N/A不适用</t>
        </is>
      </c>
      <c r="W52" s="164" t="inlineStr">
        <is>
          <t>Not selected未选</t>
        </is>
      </c>
      <c r="X52" s="164" t="inlineStr">
        <is>
          <t>N/A不适用</t>
        </is>
      </c>
      <c r="Y52" s="165" t="n"/>
      <c r="Z52" s="153" t="n"/>
    </row>
    <row r="53" outlineLevel="1" ht="16" customHeight="1">
      <c r="B53" s="220" t="inlineStr">
        <is>
          <t>样本2</t>
        </is>
      </c>
      <c r="C53" s="155" t="n">
        <v>11000027</v>
      </c>
      <c r="D53" s="156" t="inlineStr">
        <is>
          <t>1100P00001</t>
        </is>
      </c>
      <c r="E53" s="155" t="n">
        <v>11000027</v>
      </c>
      <c r="F53" s="155" t="inlineStr">
        <is>
          <t>能耗</t>
        </is>
      </c>
      <c r="G53" s="157">
        <f>G47</f>
        <v/>
      </c>
      <c r="H53" s="157">
        <f>'CO03'!E114</f>
        <v/>
      </c>
      <c r="I53" s="157">
        <f>'CO03'!F114</f>
        <v/>
      </c>
      <c r="J53" s="157">
        <f>'CO03'!G114</f>
        <v/>
      </c>
      <c r="K53" s="158">
        <f>KSBT!Z72</f>
        <v/>
      </c>
      <c r="L53" s="167">
        <f>0*G53-H53</f>
        <v/>
      </c>
      <c r="M53" s="160">
        <f>L53-J53</f>
        <v/>
      </c>
      <c r="N53" s="157">
        <f>G53</f>
        <v/>
      </c>
      <c r="O53" s="157" t="inlineStr">
        <is>
          <t>不适用</t>
        </is>
      </c>
      <c r="P53" s="160">
        <f>'3611'!AB74</f>
        <v/>
      </c>
      <c r="Q53" s="161">
        <f>P53-K53</f>
        <v/>
      </c>
      <c r="R53" s="162" t="inlineStr">
        <is>
          <t>SPD03014_SPP_2-制造费用费率配置表</t>
        </is>
      </c>
      <c r="S53" s="158" t="inlineStr">
        <is>
          <t>截屏类电子文件【Electronic document】</t>
        </is>
      </c>
      <c r="T53" s="158">
        <f>N53</f>
        <v/>
      </c>
      <c r="U53" s="163" t="inlineStr">
        <is>
          <t>制造费用费率manufacturing overhead cost rate</t>
        </is>
      </c>
      <c r="V53" s="164" t="inlineStr">
        <is>
          <t>Agrees相符</t>
        </is>
      </c>
      <c r="W53" s="164" t="inlineStr">
        <is>
          <t>Reasonable合理</t>
        </is>
      </c>
      <c r="X53" s="164" t="inlineStr">
        <is>
          <t>Yes是</t>
        </is>
      </c>
      <c r="Y53" s="165" t="n"/>
      <c r="Z53" s="153" t="n"/>
    </row>
    <row r="54" outlineLevel="1" ht="16" customHeight="1">
      <c r="B54" s="221" t="n"/>
      <c r="C54" s="221" t="n"/>
      <c r="D54" s="221" t="n"/>
      <c r="E54" s="221" t="n"/>
      <c r="F54" s="221" t="n"/>
      <c r="G54" s="221" t="n"/>
      <c r="H54" s="221" t="n"/>
      <c r="I54" s="221" t="n"/>
      <c r="J54" s="221" t="n"/>
      <c r="K54" s="221" t="n"/>
      <c r="L54" s="222" t="n"/>
      <c r="M54" s="222" t="n"/>
      <c r="N54" s="221" t="n"/>
      <c r="O54" s="221" t="n"/>
      <c r="P54" s="222" t="n"/>
      <c r="Q54" s="222" t="n"/>
      <c r="R54" s="162" t="inlineStr">
        <is>
          <t>SPD03014_SPP_3-成本中心、成本要素、成本要素组对应关系配置表</t>
        </is>
      </c>
      <c r="S54" s="158" t="inlineStr">
        <is>
          <t>截屏类电子文件【Electronic document】</t>
        </is>
      </c>
      <c r="T54" s="221" t="n"/>
      <c r="U54" s="163" t="inlineStr">
        <is>
          <t>成本中心编码/名称Cost centres ID/Name
成本要素编码/名称cost elements ID/Name
成本要素组编码/名称cost element groups ID/Name</t>
        </is>
      </c>
      <c r="V54" s="164" t="inlineStr">
        <is>
          <t>N/A不适用</t>
        </is>
      </c>
      <c r="W54" s="164" t="inlineStr">
        <is>
          <t>Not selected未选</t>
        </is>
      </c>
      <c r="X54" s="164" t="inlineStr">
        <is>
          <t>N/A不适用</t>
        </is>
      </c>
      <c r="Y54" s="165" t="n"/>
      <c r="Z54" s="153" t="n"/>
    </row>
    <row r="55" ht="16" customHeight="1">
      <c r="B55" s="221" t="n"/>
      <c r="C55" s="221" t="n"/>
      <c r="D55" s="221" t="n"/>
      <c r="E55" s="221" t="n"/>
      <c r="F55" s="221" t="n"/>
      <c r="G55" s="221" t="n"/>
      <c r="H55" s="221" t="n"/>
      <c r="I55" s="221" t="n"/>
      <c r="J55" s="221" t="n"/>
      <c r="K55" s="221" t="n"/>
      <c r="L55" s="222" t="n"/>
      <c r="M55" s="222" t="n"/>
      <c r="N55" s="221" t="n"/>
      <c r="O55" s="221" t="n"/>
      <c r="P55" s="222" t="n"/>
      <c r="Q55" s="222" t="n"/>
      <c r="R55" s="162" t="inlineStr">
        <is>
          <t>SPD03014_SPP_4-辅助生产费用分摊权重数配置表</t>
        </is>
      </c>
      <c r="S55" s="158" t="inlineStr">
        <is>
          <t>截屏类电子文件【Electronic document】</t>
        </is>
      </c>
      <c r="T55" s="221" t="n"/>
      <c r="U55" s="163" t="inlineStr">
        <is>
          <t>辅助生产费用分摊权重数Numbers of weights for the allocation of auxiliary production costs</t>
        </is>
      </c>
      <c r="V55" s="164" t="inlineStr">
        <is>
          <t>N/A不适用</t>
        </is>
      </c>
      <c r="W55" s="164" t="inlineStr">
        <is>
          <t>Not selected未选</t>
        </is>
      </c>
      <c r="X55" s="164" t="inlineStr">
        <is>
          <t>N/A不适用</t>
        </is>
      </c>
      <c r="Y55" s="165" t="n"/>
      <c r="Z55" s="153" t="n"/>
    </row>
    <row r="56" ht="16" customHeight="1">
      <c r="B56" s="221" t="n"/>
      <c r="C56" s="221" t="n"/>
      <c r="D56" s="221" t="n"/>
      <c r="E56" s="221" t="n"/>
      <c r="F56" s="221" t="n"/>
      <c r="G56" s="221" t="n"/>
      <c r="H56" s="221" t="n"/>
      <c r="I56" s="221" t="n"/>
      <c r="J56" s="221" t="n"/>
      <c r="K56" s="221" t="n"/>
      <c r="L56" s="222" t="n"/>
      <c r="M56" s="222" t="n"/>
      <c r="N56" s="221" t="n"/>
      <c r="O56" s="221" t="n"/>
      <c r="P56" s="222" t="n"/>
      <c r="Q56" s="222" t="n"/>
      <c r="R56" s="162" t="inlineStr">
        <is>
          <t>SPD03014_SPP_5-实际定额工时配置表</t>
        </is>
      </c>
      <c r="S56" s="158" t="inlineStr">
        <is>
          <t>截屏类电子文件【Electronic document】</t>
        </is>
      </c>
      <c r="T56" s="221" t="n"/>
      <c r="U56" s="163" t="inlineStr">
        <is>
          <t>实际定额工时Actual rated hours</t>
        </is>
      </c>
      <c r="V56" s="164" t="inlineStr">
        <is>
          <t>Agrees相符</t>
        </is>
      </c>
      <c r="W56" s="164" t="inlineStr">
        <is>
          <t>Reasonable合理</t>
        </is>
      </c>
      <c r="X56" s="164" t="inlineStr">
        <is>
          <t>Yes是</t>
        </is>
      </c>
      <c r="Y56" s="165" t="n"/>
      <c r="Z56" s="153" t="n"/>
    </row>
    <row r="57" ht="16" customHeight="1">
      <c r="B57" s="221" t="n"/>
      <c r="C57" s="221" t="n"/>
      <c r="D57" s="221" t="n"/>
      <c r="E57" s="221" t="n"/>
      <c r="F57" s="221" t="n"/>
      <c r="G57" s="221" t="n"/>
      <c r="H57" s="221" t="n"/>
      <c r="I57" s="221" t="n"/>
      <c r="J57" s="221" t="n"/>
      <c r="K57" s="221" t="n"/>
      <c r="L57" s="222" t="n"/>
      <c r="M57" s="222" t="n"/>
      <c r="N57" s="221" t="n"/>
      <c r="O57" s="221" t="n"/>
      <c r="P57" s="222" t="n"/>
      <c r="Q57" s="222" t="n"/>
      <c r="R57" s="162" t="inlineStr">
        <is>
          <t>SPD03014_SPP_6-&lt;CO03_成本分析&gt;表</t>
        </is>
      </c>
      <c r="S57" s="158" t="inlineStr">
        <is>
          <t>清单类电子数据【Electronic data】</t>
        </is>
      </c>
      <c r="T57" s="221" t="n"/>
      <c r="U57" s="163" t="inlineStr">
        <is>
          <t>完工数量Completed quantity
实际成本[“总的实际成本”]Actual cost ["total actual cost"]</t>
        </is>
      </c>
      <c r="V57" s="164" t="inlineStr">
        <is>
          <t>Agrees相符</t>
        </is>
      </c>
      <c r="W57" s="164" t="inlineStr">
        <is>
          <t>Reasonable合理</t>
        </is>
      </c>
      <c r="X57" s="164" t="inlineStr">
        <is>
          <t>Yes是</t>
        </is>
      </c>
      <c r="Y57" s="165" t="n"/>
      <c r="Z57" s="153" t="n"/>
    </row>
    <row r="58" ht="16" customHeight="1">
      <c r="B58" s="223" t="n"/>
      <c r="C58" s="223" t="n"/>
      <c r="D58" s="223" t="n"/>
      <c r="E58" s="223" t="n"/>
      <c r="F58" s="223" t="n"/>
      <c r="G58" s="223" t="n"/>
      <c r="H58" s="223" t="n"/>
      <c r="I58" s="223" t="n"/>
      <c r="J58" s="223" t="n"/>
      <c r="K58" s="223" t="n"/>
      <c r="L58" s="224" t="n"/>
      <c r="M58" s="224" t="n"/>
      <c r="N58" s="223" t="n"/>
      <c r="O58" s="223" t="n"/>
      <c r="P58" s="224" t="n"/>
      <c r="Q58" s="224" t="n"/>
      <c r="R58" s="162" t="inlineStr">
        <is>
          <t>SPD03014_SPP_7-工艺路线配置表</t>
        </is>
      </c>
      <c r="S58" s="158" t="inlineStr">
        <is>
          <t>截屏类电子文件【Electronic document】</t>
        </is>
      </c>
      <c r="T58" s="223" t="n"/>
      <c r="U58" s="163" t="inlineStr">
        <is>
          <t>工序编码/名称Process Route ID/Name
工序数量Process Route Quantity</t>
        </is>
      </c>
      <c r="V58" s="164" t="inlineStr">
        <is>
          <t>N/A不适用</t>
        </is>
      </c>
      <c r="W58" s="164" t="inlineStr">
        <is>
          <t>Not selected未选</t>
        </is>
      </c>
      <c r="X58" s="164" t="inlineStr">
        <is>
          <t>N/A不适用</t>
        </is>
      </c>
      <c r="Y58" s="165" t="n"/>
      <c r="Z58" s="153" t="n"/>
    </row>
    <row r="59" outlineLevel="1" ht="16" customHeight="1">
      <c r="B59" s="220" t="inlineStr">
        <is>
          <t>样本2</t>
        </is>
      </c>
      <c r="C59" s="155" t="n">
        <v>11000027</v>
      </c>
      <c r="D59" s="156" t="inlineStr">
        <is>
          <t>1100P00001</t>
        </is>
      </c>
      <c r="E59" s="155" t="n">
        <v>11000027</v>
      </c>
      <c r="F59" s="155" t="inlineStr">
        <is>
          <t>低值易耗</t>
        </is>
      </c>
      <c r="G59" s="157">
        <f>G53</f>
        <v/>
      </c>
      <c r="H59" s="157">
        <f>'CO03'!E115</f>
        <v/>
      </c>
      <c r="I59" s="157">
        <f>'CO03'!F115</f>
        <v/>
      </c>
      <c r="J59" s="157">
        <f>'CO03'!G115</f>
        <v/>
      </c>
      <c r="K59" s="158">
        <f>KSBT!Z73</f>
        <v/>
      </c>
      <c r="L59" s="167">
        <f>0*G59-H59</f>
        <v/>
      </c>
      <c r="M59" s="160">
        <f>L59-J59</f>
        <v/>
      </c>
      <c r="N59" s="157">
        <f>G59</f>
        <v/>
      </c>
      <c r="O59" s="157" t="inlineStr">
        <is>
          <t>不适用</t>
        </is>
      </c>
      <c r="P59" s="160">
        <f>'3611'!AB75</f>
        <v/>
      </c>
      <c r="Q59" s="161">
        <f>P59-K59</f>
        <v/>
      </c>
      <c r="R59" s="162" t="inlineStr">
        <is>
          <t>SPD03014_SPP_2-制造费用费率配置表</t>
        </is>
      </c>
      <c r="S59" s="158" t="inlineStr">
        <is>
          <t>截屏类电子文件【Electronic document】</t>
        </is>
      </c>
      <c r="T59" s="158">
        <f>N59</f>
        <v/>
      </c>
      <c r="U59" s="163" t="inlineStr">
        <is>
          <t>制造费用费率manufacturing overhead cost rate</t>
        </is>
      </c>
      <c r="V59" s="164" t="inlineStr">
        <is>
          <t>Agrees相符</t>
        </is>
      </c>
      <c r="W59" s="164" t="inlineStr">
        <is>
          <t>Reasonable合理</t>
        </is>
      </c>
      <c r="X59" s="164" t="inlineStr">
        <is>
          <t>Yes是</t>
        </is>
      </c>
      <c r="Y59" s="165" t="n"/>
      <c r="Z59" s="153" t="n"/>
    </row>
    <row r="60" outlineLevel="1" ht="16" customHeight="1">
      <c r="B60" s="221" t="n"/>
      <c r="C60" s="221" t="n"/>
      <c r="D60" s="221" t="n"/>
      <c r="E60" s="221" t="n"/>
      <c r="F60" s="221" t="n"/>
      <c r="G60" s="221" t="n"/>
      <c r="H60" s="221" t="n"/>
      <c r="I60" s="221" t="n"/>
      <c r="J60" s="221" t="n"/>
      <c r="K60" s="221" t="n"/>
      <c r="L60" s="222" t="n"/>
      <c r="M60" s="222" t="n"/>
      <c r="N60" s="221" t="n"/>
      <c r="O60" s="221" t="n"/>
      <c r="P60" s="222" t="n"/>
      <c r="Q60" s="222" t="n"/>
      <c r="R60" s="162" t="inlineStr">
        <is>
          <t>SPD03014_SPP_3-成本中心、成本要素、成本要素组对应关系配置表</t>
        </is>
      </c>
      <c r="S60" s="158" t="inlineStr">
        <is>
          <t>截屏类电子文件【Electronic document】</t>
        </is>
      </c>
      <c r="T60" s="221" t="n"/>
      <c r="U60" s="163" t="inlineStr">
        <is>
          <t>成本中心编码/名称Cost centres ID/Name
成本要素编码/名称cost elements ID/Name
成本要素组编码/名称cost element groups ID/Name</t>
        </is>
      </c>
      <c r="V60" s="164" t="inlineStr">
        <is>
          <t>N/A不适用</t>
        </is>
      </c>
      <c r="W60" s="164" t="inlineStr">
        <is>
          <t>Not selected未选</t>
        </is>
      </c>
      <c r="X60" s="164" t="inlineStr">
        <is>
          <t>N/A不适用</t>
        </is>
      </c>
      <c r="Y60" s="165" t="n"/>
      <c r="Z60" s="153" t="n"/>
    </row>
    <row r="61" ht="16" customHeight="1">
      <c r="B61" s="221" t="n"/>
      <c r="C61" s="221" t="n"/>
      <c r="D61" s="221" t="n"/>
      <c r="E61" s="221" t="n"/>
      <c r="F61" s="221" t="n"/>
      <c r="G61" s="221" t="n"/>
      <c r="H61" s="221" t="n"/>
      <c r="I61" s="221" t="n"/>
      <c r="J61" s="221" t="n"/>
      <c r="K61" s="221" t="n"/>
      <c r="L61" s="222" t="n"/>
      <c r="M61" s="222" t="n"/>
      <c r="N61" s="221" t="n"/>
      <c r="O61" s="221" t="n"/>
      <c r="P61" s="222" t="n"/>
      <c r="Q61" s="222" t="n"/>
      <c r="R61" s="162" t="inlineStr">
        <is>
          <t>SPD03014_SPP_4-辅助生产费用分摊权重数配置表</t>
        </is>
      </c>
      <c r="S61" s="158" t="inlineStr">
        <is>
          <t>截屏类电子文件【Electronic document】</t>
        </is>
      </c>
      <c r="T61" s="221" t="n"/>
      <c r="U61" s="163" t="inlineStr">
        <is>
          <t>辅助生产费用分摊权重数Numbers of weights for the allocation of auxiliary production costs</t>
        </is>
      </c>
      <c r="V61" s="164" t="inlineStr">
        <is>
          <t>N/A不适用</t>
        </is>
      </c>
      <c r="W61" s="164" t="inlineStr">
        <is>
          <t>Not selected未选</t>
        </is>
      </c>
      <c r="X61" s="164" t="inlineStr">
        <is>
          <t>N/A不适用</t>
        </is>
      </c>
      <c r="Y61" s="165" t="n"/>
      <c r="Z61" s="153" t="n"/>
    </row>
    <row r="62" ht="16" customHeight="1">
      <c r="B62" s="221" t="n"/>
      <c r="C62" s="221" t="n"/>
      <c r="D62" s="221" t="n"/>
      <c r="E62" s="221" t="n"/>
      <c r="F62" s="221" t="n"/>
      <c r="G62" s="221" t="n"/>
      <c r="H62" s="221" t="n"/>
      <c r="I62" s="221" t="n"/>
      <c r="J62" s="221" t="n"/>
      <c r="K62" s="221" t="n"/>
      <c r="L62" s="222" t="n"/>
      <c r="M62" s="222" t="n"/>
      <c r="N62" s="221" t="n"/>
      <c r="O62" s="221" t="n"/>
      <c r="P62" s="222" t="n"/>
      <c r="Q62" s="222" t="n"/>
      <c r="R62" s="162" t="inlineStr">
        <is>
          <t>SPD03014_SPP_5-实际定额工时配置表</t>
        </is>
      </c>
      <c r="S62" s="158" t="inlineStr">
        <is>
          <t>截屏类电子文件【Electronic document】</t>
        </is>
      </c>
      <c r="T62" s="221" t="n"/>
      <c r="U62" s="163" t="inlineStr">
        <is>
          <t>实际定额工时Actual rated hours</t>
        </is>
      </c>
      <c r="V62" s="164" t="inlineStr">
        <is>
          <t>Agrees相符</t>
        </is>
      </c>
      <c r="W62" s="164" t="inlineStr">
        <is>
          <t>Reasonable合理</t>
        </is>
      </c>
      <c r="X62" s="164" t="inlineStr">
        <is>
          <t>Yes是</t>
        </is>
      </c>
      <c r="Y62" s="165" t="n"/>
      <c r="Z62" s="153" t="n"/>
    </row>
    <row r="63" ht="16" customHeight="1">
      <c r="B63" s="221" t="n"/>
      <c r="C63" s="221" t="n"/>
      <c r="D63" s="221" t="n"/>
      <c r="E63" s="221" t="n"/>
      <c r="F63" s="221" t="n"/>
      <c r="G63" s="221" t="n"/>
      <c r="H63" s="221" t="n"/>
      <c r="I63" s="221" t="n"/>
      <c r="J63" s="221" t="n"/>
      <c r="K63" s="221" t="n"/>
      <c r="L63" s="222" t="n"/>
      <c r="M63" s="222" t="n"/>
      <c r="N63" s="221" t="n"/>
      <c r="O63" s="221" t="n"/>
      <c r="P63" s="222" t="n"/>
      <c r="Q63" s="222" t="n"/>
      <c r="R63" s="162" t="inlineStr">
        <is>
          <t>SPD03014_SPP_6-&lt;CO03_成本分析&gt;表</t>
        </is>
      </c>
      <c r="S63" s="158" t="inlineStr">
        <is>
          <t>清单类电子数据【Electronic data】</t>
        </is>
      </c>
      <c r="T63" s="221" t="n"/>
      <c r="U63" s="163" t="inlineStr">
        <is>
          <t>完工数量Completed quantity
实际成本[“总的实际成本”]Actual cost ["total actual cost"]</t>
        </is>
      </c>
      <c r="V63" s="164" t="inlineStr">
        <is>
          <t>Agrees相符</t>
        </is>
      </c>
      <c r="W63" s="164" t="inlineStr">
        <is>
          <t>Reasonable合理</t>
        </is>
      </c>
      <c r="X63" s="164" t="inlineStr">
        <is>
          <t>Yes是</t>
        </is>
      </c>
      <c r="Y63" s="165" t="n"/>
      <c r="Z63" s="153" t="n"/>
    </row>
    <row r="64" ht="16" customHeight="1">
      <c r="B64" s="223" t="n"/>
      <c r="C64" s="223" t="n"/>
      <c r="D64" s="223" t="n"/>
      <c r="E64" s="223" t="n"/>
      <c r="F64" s="223" t="n"/>
      <c r="G64" s="223" t="n"/>
      <c r="H64" s="223" t="n"/>
      <c r="I64" s="223" t="n"/>
      <c r="J64" s="223" t="n"/>
      <c r="K64" s="223" t="n"/>
      <c r="L64" s="224" t="n"/>
      <c r="M64" s="224" t="n"/>
      <c r="N64" s="223" t="n"/>
      <c r="O64" s="223" t="n"/>
      <c r="P64" s="224" t="n"/>
      <c r="Q64" s="224" t="n"/>
      <c r="R64" s="162" t="inlineStr">
        <is>
          <t>SPD03014_SPP_7-工艺路线配置表</t>
        </is>
      </c>
      <c r="S64" s="158" t="inlineStr">
        <is>
          <t>截屏类电子文件【Electronic document】</t>
        </is>
      </c>
      <c r="T64" s="223" t="n"/>
      <c r="U64" s="163" t="inlineStr">
        <is>
          <t>工序编码/名称Process Route ID/Name
工序数量Process Route Quantity</t>
        </is>
      </c>
      <c r="V64" s="164" t="inlineStr">
        <is>
          <t>N/A不适用</t>
        </is>
      </c>
      <c r="W64" s="164" t="inlineStr">
        <is>
          <t>Not selected未选</t>
        </is>
      </c>
      <c r="X64" s="164" t="inlineStr">
        <is>
          <t>N/A不适用</t>
        </is>
      </c>
      <c r="Y64" s="165" t="n"/>
      <c r="Z64" s="153" t="n"/>
    </row>
    <row r="65" outlineLevel="1" ht="16" customHeight="1">
      <c r="B65" s="220" t="inlineStr">
        <is>
          <t>样本2</t>
        </is>
      </c>
      <c r="C65" s="155" t="n">
        <v>11000027</v>
      </c>
      <c r="D65" s="156" t="inlineStr">
        <is>
          <t>1100P00001</t>
        </is>
      </c>
      <c r="E65" s="155" t="n">
        <v>11000027</v>
      </c>
      <c r="F65" s="155" t="inlineStr">
        <is>
          <t>其他</t>
        </is>
      </c>
      <c r="G65" s="157">
        <f>G59</f>
        <v/>
      </c>
      <c r="H65" s="157">
        <f>'CO03'!E116</f>
        <v/>
      </c>
      <c r="I65" s="157">
        <f>'CO03'!F116</f>
        <v/>
      </c>
      <c r="J65" s="157">
        <f>'CO03'!G116</f>
        <v/>
      </c>
      <c r="K65" s="158">
        <f>KSBT!Z74</f>
        <v/>
      </c>
      <c r="L65" s="167">
        <f>0*G65-H65</f>
        <v/>
      </c>
      <c r="M65" s="160">
        <f>L65-J65</f>
        <v/>
      </c>
      <c r="N65" s="157">
        <f>G65</f>
        <v/>
      </c>
      <c r="O65" s="157" t="inlineStr">
        <is>
          <t>不适用</t>
        </is>
      </c>
      <c r="P65" s="160">
        <f>'3611'!AB76</f>
        <v/>
      </c>
      <c r="Q65" s="161">
        <f>P65-K65</f>
        <v/>
      </c>
      <c r="R65" s="162" t="inlineStr">
        <is>
          <t>SPD03014_SPP_2-制造费用费率配置表</t>
        </is>
      </c>
      <c r="S65" s="158" t="inlineStr">
        <is>
          <t>截屏类电子文件【Electronic document】</t>
        </is>
      </c>
      <c r="T65" s="158">
        <f>N65</f>
        <v/>
      </c>
      <c r="U65" s="163" t="inlineStr">
        <is>
          <t>制造费用费率manufacturing overhead cost rate</t>
        </is>
      </c>
      <c r="V65" s="164" t="inlineStr">
        <is>
          <t>Agrees相符</t>
        </is>
      </c>
      <c r="W65" s="164" t="inlineStr">
        <is>
          <t>Reasonable合理</t>
        </is>
      </c>
      <c r="X65" s="164" t="inlineStr">
        <is>
          <t>Yes是</t>
        </is>
      </c>
      <c r="Y65" s="165" t="n"/>
      <c r="Z65" s="153" t="n"/>
    </row>
    <row r="66" outlineLevel="1" ht="16" customHeight="1">
      <c r="B66" s="221" t="n"/>
      <c r="C66" s="221" t="n"/>
      <c r="D66" s="221" t="n"/>
      <c r="E66" s="221" t="n"/>
      <c r="F66" s="221" t="n"/>
      <c r="G66" s="221" t="n"/>
      <c r="H66" s="221" t="n"/>
      <c r="I66" s="221" t="n"/>
      <c r="J66" s="221" t="n"/>
      <c r="K66" s="221" t="n"/>
      <c r="L66" s="222" t="n"/>
      <c r="M66" s="222" t="n"/>
      <c r="N66" s="221" t="n"/>
      <c r="O66" s="221" t="n"/>
      <c r="P66" s="222" t="n"/>
      <c r="Q66" s="222" t="n"/>
      <c r="R66" s="162" t="inlineStr">
        <is>
          <t>SPD03014_SPP_3-成本中心、成本要素、成本要素组对应关系配置表</t>
        </is>
      </c>
      <c r="S66" s="158" t="inlineStr">
        <is>
          <t>截屏类电子文件【Electronic document】</t>
        </is>
      </c>
      <c r="T66" s="221" t="n"/>
      <c r="U66" s="163" t="inlineStr">
        <is>
          <t>成本中心编码/名称Cost centres ID/Name
成本要素编码/名称cost elements ID/Name
成本要素组编码/名称cost element groups ID/Name</t>
        </is>
      </c>
      <c r="V66" s="164" t="inlineStr">
        <is>
          <t>N/A不适用</t>
        </is>
      </c>
      <c r="W66" s="164" t="inlineStr">
        <is>
          <t>Not selected未选</t>
        </is>
      </c>
      <c r="X66" s="164" t="inlineStr">
        <is>
          <t>N/A不适用</t>
        </is>
      </c>
      <c r="Y66" s="165" t="n"/>
      <c r="Z66" s="153" t="n"/>
    </row>
    <row r="67" ht="16" customHeight="1">
      <c r="B67" s="221" t="n"/>
      <c r="C67" s="221" t="n"/>
      <c r="D67" s="221" t="n"/>
      <c r="E67" s="221" t="n"/>
      <c r="F67" s="221" t="n"/>
      <c r="G67" s="221" t="n"/>
      <c r="H67" s="221" t="n"/>
      <c r="I67" s="221" t="n"/>
      <c r="J67" s="221" t="n"/>
      <c r="K67" s="221" t="n"/>
      <c r="L67" s="222" t="n"/>
      <c r="M67" s="222" t="n"/>
      <c r="N67" s="221" t="n"/>
      <c r="O67" s="221" t="n"/>
      <c r="P67" s="222" t="n"/>
      <c r="Q67" s="222" t="n"/>
      <c r="R67" s="162" t="inlineStr">
        <is>
          <t>SPD03014_SPP_4-辅助生产费用分摊权重数配置表</t>
        </is>
      </c>
      <c r="S67" s="158" t="inlineStr">
        <is>
          <t>截屏类电子文件【Electronic document】</t>
        </is>
      </c>
      <c r="T67" s="221" t="n"/>
      <c r="U67" s="163" t="inlineStr">
        <is>
          <t>辅助生产费用分摊权重数Numbers of weights for the allocation of auxiliary production costs</t>
        </is>
      </c>
      <c r="V67" s="164" t="inlineStr">
        <is>
          <t>N/A不适用</t>
        </is>
      </c>
      <c r="W67" s="164" t="inlineStr">
        <is>
          <t>Not selected未选</t>
        </is>
      </c>
      <c r="X67" s="164" t="inlineStr">
        <is>
          <t>N/A不适用</t>
        </is>
      </c>
      <c r="Y67" s="165" t="n"/>
      <c r="Z67" s="153" t="n"/>
    </row>
    <row r="68" ht="16" customHeight="1">
      <c r="B68" s="221" t="n"/>
      <c r="C68" s="221" t="n"/>
      <c r="D68" s="221" t="n"/>
      <c r="E68" s="221" t="n"/>
      <c r="F68" s="221" t="n"/>
      <c r="G68" s="221" t="n"/>
      <c r="H68" s="221" t="n"/>
      <c r="I68" s="221" t="n"/>
      <c r="J68" s="221" t="n"/>
      <c r="K68" s="221" t="n"/>
      <c r="L68" s="222" t="n"/>
      <c r="M68" s="222" t="n"/>
      <c r="N68" s="221" t="n"/>
      <c r="O68" s="221" t="n"/>
      <c r="P68" s="222" t="n"/>
      <c r="Q68" s="222" t="n"/>
      <c r="R68" s="162" t="inlineStr">
        <is>
          <t>SPD03014_SPP_5-实际定额工时配置表</t>
        </is>
      </c>
      <c r="S68" s="158" t="inlineStr">
        <is>
          <t>截屏类电子文件【Electronic document】</t>
        </is>
      </c>
      <c r="T68" s="221" t="n"/>
      <c r="U68" s="163" t="inlineStr">
        <is>
          <t>实际定额工时Actual rated hours</t>
        </is>
      </c>
      <c r="V68" s="164" t="inlineStr">
        <is>
          <t>Agrees相符</t>
        </is>
      </c>
      <c r="W68" s="164" t="inlineStr">
        <is>
          <t>Reasonable合理</t>
        </is>
      </c>
      <c r="X68" s="164" t="inlineStr">
        <is>
          <t>Yes是</t>
        </is>
      </c>
      <c r="Y68" s="165" t="n"/>
      <c r="Z68" s="153" t="n"/>
    </row>
    <row r="69" ht="16" customHeight="1">
      <c r="B69" s="221" t="n"/>
      <c r="C69" s="221" t="n"/>
      <c r="D69" s="221" t="n"/>
      <c r="E69" s="221" t="n"/>
      <c r="F69" s="221" t="n"/>
      <c r="G69" s="221" t="n"/>
      <c r="H69" s="221" t="n"/>
      <c r="I69" s="221" t="n"/>
      <c r="J69" s="221" t="n"/>
      <c r="K69" s="221" t="n"/>
      <c r="L69" s="222" t="n"/>
      <c r="M69" s="222" t="n"/>
      <c r="N69" s="221" t="n"/>
      <c r="O69" s="221" t="n"/>
      <c r="P69" s="222" t="n"/>
      <c r="Q69" s="222" t="n"/>
      <c r="R69" s="162" t="inlineStr">
        <is>
          <t>SPD03014_SPP_6-&lt;CO03_成本分析&gt;表</t>
        </is>
      </c>
      <c r="S69" s="158" t="inlineStr">
        <is>
          <t>清单类电子数据【Electronic data】</t>
        </is>
      </c>
      <c r="T69" s="221" t="n"/>
      <c r="U69" s="163" t="inlineStr">
        <is>
          <t>完工数量Completed quantity
实际成本[“总的实际成本”]Actual cost ["total actual cost"]</t>
        </is>
      </c>
      <c r="V69" s="164" t="inlineStr">
        <is>
          <t>Agrees相符</t>
        </is>
      </c>
      <c r="W69" s="164" t="inlineStr">
        <is>
          <t>Reasonable合理</t>
        </is>
      </c>
      <c r="X69" s="164" t="inlineStr">
        <is>
          <t>Yes是</t>
        </is>
      </c>
      <c r="Y69" s="165" t="n"/>
      <c r="Z69" s="153" t="n"/>
    </row>
    <row r="70" ht="16" customHeight="1">
      <c r="B70" s="223" t="n"/>
      <c r="C70" s="223" t="n"/>
      <c r="D70" s="223" t="n"/>
      <c r="E70" s="223" t="n"/>
      <c r="F70" s="223" t="n"/>
      <c r="G70" s="223" t="n"/>
      <c r="H70" s="223" t="n"/>
      <c r="I70" s="223" t="n"/>
      <c r="J70" s="223" t="n"/>
      <c r="K70" s="223" t="n"/>
      <c r="L70" s="224" t="n"/>
      <c r="M70" s="224" t="n"/>
      <c r="N70" s="223" t="n"/>
      <c r="O70" s="223" t="n"/>
      <c r="P70" s="224" t="n"/>
      <c r="Q70" s="224" t="n"/>
      <c r="R70" s="162" t="inlineStr">
        <is>
          <t>SPD03014_SPP_7-工艺路线配置表</t>
        </is>
      </c>
      <c r="S70" s="158" t="inlineStr">
        <is>
          <t>截屏类电子文件【Electronic document】</t>
        </is>
      </c>
      <c r="T70" s="223" t="n"/>
      <c r="U70" s="163" t="inlineStr">
        <is>
          <t>工序编码/名称Process Route ID/Name
工序数量Process Route Quantity</t>
        </is>
      </c>
      <c r="V70" s="164" t="inlineStr">
        <is>
          <t>N/A不适用</t>
        </is>
      </c>
      <c r="W70" s="164" t="inlineStr">
        <is>
          <t>Not selected未选</t>
        </is>
      </c>
      <c r="X70" s="164" t="inlineStr">
        <is>
          <t>N/A不适用</t>
        </is>
      </c>
      <c r="Y70" s="165" t="n"/>
      <c r="Z70" s="153" t="n"/>
    </row>
    <row r="71" outlineLevel="1" ht="16" customHeight="1">
      <c r="B71" s="220" t="inlineStr">
        <is>
          <t>样本3</t>
        </is>
      </c>
      <c r="C71" s="155">
        <f>'SPD03012-IRM(SAP)'!C107</f>
        <v/>
      </c>
      <c r="D71" s="156">
        <f>'SPD03012-IRM(SAP)'!D107</f>
        <v/>
      </c>
      <c r="E71" s="155">
        <f>'SPD03012-IRM(SAP)'!E107</f>
        <v/>
      </c>
      <c r="F71" s="155" t="inlineStr">
        <is>
          <t>间接人工</t>
        </is>
      </c>
      <c r="G71" s="158">
        <f>'CO03'!H170</f>
        <v/>
      </c>
      <c r="H71" s="158">
        <f>'CO03'!E171</f>
        <v/>
      </c>
      <c r="I71" s="158">
        <f>'CO03'!F171</f>
        <v/>
      </c>
      <c r="J71" s="158">
        <f>'CO03'!G171</f>
        <v/>
      </c>
      <c r="K71" s="158">
        <f>KSBT!Z118</f>
        <v/>
      </c>
      <c r="L71" s="159">
        <f>0*G71-H71</f>
        <v/>
      </c>
      <c r="M71" s="160">
        <f>L71-J71</f>
        <v/>
      </c>
      <c r="N71" s="157">
        <f>G71</f>
        <v/>
      </c>
      <c r="O71" s="157" t="inlineStr">
        <is>
          <t>不适用</t>
        </is>
      </c>
      <c r="P71" s="160">
        <f>'3611'!AB164</f>
        <v/>
      </c>
      <c r="Q71" s="161">
        <f>P71-K71</f>
        <v/>
      </c>
      <c r="R71" s="162" t="inlineStr">
        <is>
          <t>SPD03014_SPP_2-制造费用费率配置表</t>
        </is>
      </c>
      <c r="S71" s="158" t="inlineStr">
        <is>
          <t>截屏类电子文件【Electronic document】</t>
        </is>
      </c>
      <c r="T71" s="158">
        <f>N71</f>
        <v/>
      </c>
      <c r="U71" s="163" t="inlineStr">
        <is>
          <t>制造费用费率manufacturing overhead cost rate</t>
        </is>
      </c>
      <c r="V71" s="164" t="inlineStr">
        <is>
          <t>Agrees相符</t>
        </is>
      </c>
      <c r="W71" s="164" t="inlineStr">
        <is>
          <t>Reasonable合理</t>
        </is>
      </c>
      <c r="X71" s="164" t="inlineStr">
        <is>
          <t>Yes是</t>
        </is>
      </c>
      <c r="Y71" s="165" t="n"/>
      <c r="Z71" s="153" t="n"/>
    </row>
    <row r="72" outlineLevel="1" ht="16" customHeight="1">
      <c r="B72" s="221" t="n"/>
      <c r="C72" s="221" t="n"/>
      <c r="D72" s="221" t="n"/>
      <c r="E72" s="221" t="n"/>
      <c r="F72" s="221" t="n"/>
      <c r="G72" s="221" t="n"/>
      <c r="H72" s="221" t="n"/>
      <c r="I72" s="221" t="n"/>
      <c r="J72" s="221" t="n"/>
      <c r="K72" s="221" t="n"/>
      <c r="L72" s="222" t="n"/>
      <c r="M72" s="222" t="n"/>
      <c r="N72" s="221" t="n"/>
      <c r="O72" s="221" t="n"/>
      <c r="P72" s="222" t="n"/>
      <c r="Q72" s="222" t="n"/>
      <c r="R72" s="162" t="inlineStr">
        <is>
          <t>SPD03014_SPP_3-成本中心、成本要素、成本要素组对应关系配置表</t>
        </is>
      </c>
      <c r="S72" s="158" t="inlineStr">
        <is>
          <t>截屏类电子文件【Electronic document】</t>
        </is>
      </c>
      <c r="T72" s="221" t="n"/>
      <c r="U72" s="163" t="inlineStr">
        <is>
          <t>成本中心编码/名称Cost centres ID/Name
成本要素编码/名称cost elements ID/Name
成本要素组编码/名称cost element groups ID/Name</t>
        </is>
      </c>
      <c r="V72" s="164" t="inlineStr">
        <is>
          <t>N/A不适用</t>
        </is>
      </c>
      <c r="W72" s="164" t="inlineStr">
        <is>
          <t>Not selected未选</t>
        </is>
      </c>
      <c r="X72" s="164" t="inlineStr">
        <is>
          <t>N/A不适用</t>
        </is>
      </c>
      <c r="Y72" s="165" t="n"/>
      <c r="Z72" s="153" t="n"/>
    </row>
    <row r="73" ht="16" customHeight="1">
      <c r="B73" s="221" t="n"/>
      <c r="C73" s="221" t="n"/>
      <c r="D73" s="221" t="n"/>
      <c r="E73" s="221" t="n"/>
      <c r="F73" s="221" t="n"/>
      <c r="G73" s="221" t="n"/>
      <c r="H73" s="221" t="n"/>
      <c r="I73" s="221" t="n"/>
      <c r="J73" s="221" t="n"/>
      <c r="K73" s="221" t="n"/>
      <c r="L73" s="222" t="n"/>
      <c r="M73" s="222" t="n"/>
      <c r="N73" s="221" t="n"/>
      <c r="O73" s="221" t="n"/>
      <c r="P73" s="222" t="n"/>
      <c r="Q73" s="222" t="n"/>
      <c r="R73" s="162" t="inlineStr">
        <is>
          <t>SPD03014_SPP_4-辅助生产费用分摊权重数配置表</t>
        </is>
      </c>
      <c r="S73" s="158" t="inlineStr">
        <is>
          <t>截屏类电子文件【Electronic document】</t>
        </is>
      </c>
      <c r="T73" s="221" t="n"/>
      <c r="U73" s="163" t="inlineStr">
        <is>
          <t>辅助生产费用分摊权重数Numbers of weights for the allocation of auxiliary production costs</t>
        </is>
      </c>
      <c r="V73" s="164" t="inlineStr">
        <is>
          <t>N/A不适用</t>
        </is>
      </c>
      <c r="W73" s="164" t="inlineStr">
        <is>
          <t>Not selected未选</t>
        </is>
      </c>
      <c r="X73" s="164" t="inlineStr">
        <is>
          <t>N/A不适用</t>
        </is>
      </c>
      <c r="Y73" s="165" t="n"/>
      <c r="Z73" s="153" t="n"/>
    </row>
    <row r="74" ht="16" customHeight="1">
      <c r="B74" s="221" t="n"/>
      <c r="C74" s="221" t="n"/>
      <c r="D74" s="221" t="n"/>
      <c r="E74" s="221" t="n"/>
      <c r="F74" s="221" t="n"/>
      <c r="G74" s="221" t="n"/>
      <c r="H74" s="221" t="n"/>
      <c r="I74" s="221" t="n"/>
      <c r="J74" s="221" t="n"/>
      <c r="K74" s="221" t="n"/>
      <c r="L74" s="222" t="n"/>
      <c r="M74" s="222" t="n"/>
      <c r="N74" s="221" t="n"/>
      <c r="O74" s="221" t="n"/>
      <c r="P74" s="222" t="n"/>
      <c r="Q74" s="222" t="n"/>
      <c r="R74" s="162" t="inlineStr">
        <is>
          <t>SPD03014_SPP_5-实际定额工时配置表</t>
        </is>
      </c>
      <c r="S74" s="158" t="inlineStr">
        <is>
          <t>截屏类电子文件【Electronic document】</t>
        </is>
      </c>
      <c r="T74" s="221" t="n"/>
      <c r="U74" s="163" t="inlineStr">
        <is>
          <t>实际定额工时Actual rated hours</t>
        </is>
      </c>
      <c r="V74" s="164" t="inlineStr">
        <is>
          <t>Agrees相符</t>
        </is>
      </c>
      <c r="W74" s="164" t="inlineStr">
        <is>
          <t>Reasonable合理</t>
        </is>
      </c>
      <c r="X74" s="164" t="inlineStr">
        <is>
          <t>Yes是</t>
        </is>
      </c>
      <c r="Y74" s="165" t="n"/>
      <c r="Z74" s="153" t="n"/>
    </row>
    <row r="75" ht="16" customHeight="1">
      <c r="B75" s="221" t="n"/>
      <c r="C75" s="221" t="n"/>
      <c r="D75" s="221" t="n"/>
      <c r="E75" s="221" t="n"/>
      <c r="F75" s="221" t="n"/>
      <c r="G75" s="221" t="n"/>
      <c r="H75" s="221" t="n"/>
      <c r="I75" s="221" t="n"/>
      <c r="J75" s="221" t="n"/>
      <c r="K75" s="221" t="n"/>
      <c r="L75" s="222" t="n"/>
      <c r="M75" s="222" t="n"/>
      <c r="N75" s="221" t="n"/>
      <c r="O75" s="221" t="n"/>
      <c r="P75" s="222" t="n"/>
      <c r="Q75" s="222" t="n"/>
      <c r="R75" s="162" t="inlineStr">
        <is>
          <t>SPD03014_SPP_6-&lt;CO03_成本分析&gt;表</t>
        </is>
      </c>
      <c r="S75" s="158" t="inlineStr">
        <is>
          <t>清单类电子数据【Electronic data】</t>
        </is>
      </c>
      <c r="T75" s="221" t="n"/>
      <c r="U75" s="163" t="inlineStr">
        <is>
          <t>完工数量Completed quantity
实际成本[“总的实际成本”]Actual cost ["total actual cost"]</t>
        </is>
      </c>
      <c r="V75" s="164" t="inlineStr">
        <is>
          <t>Agrees相符</t>
        </is>
      </c>
      <c r="W75" s="164" t="inlineStr">
        <is>
          <t>Reasonable合理</t>
        </is>
      </c>
      <c r="X75" s="164" t="inlineStr">
        <is>
          <t>Yes是</t>
        </is>
      </c>
      <c r="Y75" s="165" t="n"/>
      <c r="Z75" s="153" t="n"/>
    </row>
    <row r="76" ht="16" customHeight="1">
      <c r="B76" s="223" t="n"/>
      <c r="C76" s="223" t="n"/>
      <c r="D76" s="223" t="n"/>
      <c r="E76" s="223" t="n"/>
      <c r="F76" s="223" t="n"/>
      <c r="G76" s="223" t="n"/>
      <c r="H76" s="223" t="n"/>
      <c r="I76" s="223" t="n"/>
      <c r="J76" s="223" t="n"/>
      <c r="K76" s="223" t="n"/>
      <c r="L76" s="224" t="n"/>
      <c r="M76" s="224" t="n"/>
      <c r="N76" s="223" t="n"/>
      <c r="O76" s="223" t="n"/>
      <c r="P76" s="224" t="n"/>
      <c r="Q76" s="224" t="n"/>
      <c r="R76" s="162" t="inlineStr">
        <is>
          <t>SPD03014_SPP_7-工艺路线配置表</t>
        </is>
      </c>
      <c r="S76" s="158" t="inlineStr">
        <is>
          <t>截屏类电子文件【Electronic document】</t>
        </is>
      </c>
      <c r="T76" s="223" t="n"/>
      <c r="U76" s="163" t="inlineStr">
        <is>
          <t>工序编码/名称Process Route ID/Name
工序数量Process Route Quantity</t>
        </is>
      </c>
      <c r="V76" s="164" t="inlineStr">
        <is>
          <t>N/A不适用</t>
        </is>
      </c>
      <c r="W76" s="164" t="inlineStr">
        <is>
          <t>Not selected未选</t>
        </is>
      </c>
      <c r="X76" s="164" t="inlineStr">
        <is>
          <t>N/A不适用</t>
        </is>
      </c>
      <c r="Y76" s="165" t="n"/>
      <c r="Z76" s="153" t="n"/>
    </row>
    <row r="77" outlineLevel="1" ht="16" customHeight="1">
      <c r="B77" s="220" t="inlineStr">
        <is>
          <t>样本3</t>
        </is>
      </c>
      <c r="C77" s="155" t="n">
        <v>12006492</v>
      </c>
      <c r="D77" s="156" t="inlineStr">
        <is>
          <t>1100P00002</t>
        </is>
      </c>
      <c r="E77" s="155" t="n">
        <v>11001846</v>
      </c>
      <c r="F77" s="155" t="inlineStr">
        <is>
          <t>能耗</t>
        </is>
      </c>
      <c r="G77" s="158">
        <f>G71</f>
        <v/>
      </c>
      <c r="H77" s="158">
        <f>'CO03'!E173</f>
        <v/>
      </c>
      <c r="I77" s="158">
        <f>'CO03'!F173</f>
        <v/>
      </c>
      <c r="J77" s="158">
        <f>'CO03'!G173</f>
        <v/>
      </c>
      <c r="K77" s="158">
        <f>KSBT!Z120</f>
        <v/>
      </c>
      <c r="L77" s="159">
        <f>0*G77-H77</f>
        <v/>
      </c>
      <c r="M77" s="160">
        <f>L77-J77</f>
        <v/>
      </c>
      <c r="N77" s="157">
        <f>G77</f>
        <v/>
      </c>
      <c r="O77" s="157" t="inlineStr">
        <is>
          <t>不适用</t>
        </is>
      </c>
      <c r="P77" s="160">
        <f>'3611'!AB166</f>
        <v/>
      </c>
      <c r="Q77" s="161">
        <f>P77-K77</f>
        <v/>
      </c>
      <c r="R77" s="162" t="inlineStr">
        <is>
          <t>SPD03014_SPP_2-制造费用费率配置表</t>
        </is>
      </c>
      <c r="S77" s="158" t="inlineStr">
        <is>
          <t>截屏类电子文件【Electronic document】</t>
        </is>
      </c>
      <c r="T77" s="158">
        <f>N77</f>
        <v/>
      </c>
      <c r="U77" s="163" t="inlineStr">
        <is>
          <t>制造费用费率manufacturing overhead cost rate</t>
        </is>
      </c>
      <c r="V77" s="164" t="inlineStr">
        <is>
          <t>Agrees相符</t>
        </is>
      </c>
      <c r="W77" s="164" t="inlineStr">
        <is>
          <t>Reasonable合理</t>
        </is>
      </c>
      <c r="X77" s="164" t="inlineStr">
        <is>
          <t>Yes是</t>
        </is>
      </c>
      <c r="Y77" s="165" t="n"/>
      <c r="Z77" s="153" t="n"/>
    </row>
    <row r="78" outlineLevel="1" ht="16" customHeight="1">
      <c r="B78" s="221" t="n"/>
      <c r="C78" s="221" t="n"/>
      <c r="D78" s="221" t="n"/>
      <c r="E78" s="221" t="n"/>
      <c r="F78" s="221" t="n"/>
      <c r="G78" s="221" t="n"/>
      <c r="H78" s="221" t="n"/>
      <c r="I78" s="221" t="n"/>
      <c r="J78" s="221" t="n"/>
      <c r="K78" s="221" t="n"/>
      <c r="L78" s="222" t="n"/>
      <c r="M78" s="222" t="n"/>
      <c r="N78" s="221" t="n"/>
      <c r="O78" s="221" t="n"/>
      <c r="P78" s="222" t="n"/>
      <c r="Q78" s="222" t="n"/>
      <c r="R78" s="162" t="inlineStr">
        <is>
          <t>SPD03014_SPP_3-成本中心、成本要素、成本要素组对应关系配置表</t>
        </is>
      </c>
      <c r="S78" s="158" t="inlineStr">
        <is>
          <t>截屏类电子文件【Electronic document】</t>
        </is>
      </c>
      <c r="T78" s="221" t="n"/>
      <c r="U78" s="163" t="inlineStr">
        <is>
          <t>成本中心编码/名称Cost centres ID/Name
成本要素编码/名称cost elements ID/Name
成本要素组编码/名称cost element groups ID/Name</t>
        </is>
      </c>
      <c r="V78" s="164" t="inlineStr">
        <is>
          <t>N/A不适用</t>
        </is>
      </c>
      <c r="W78" s="164" t="inlineStr">
        <is>
          <t>Not selected未选</t>
        </is>
      </c>
      <c r="X78" s="164" t="inlineStr">
        <is>
          <t>N/A不适用</t>
        </is>
      </c>
      <c r="Y78" s="165" t="n"/>
      <c r="Z78" s="153" t="n"/>
    </row>
    <row r="79" ht="16" customHeight="1">
      <c r="B79" s="221" t="n"/>
      <c r="C79" s="221" t="n"/>
      <c r="D79" s="221" t="n"/>
      <c r="E79" s="221" t="n"/>
      <c r="F79" s="221" t="n"/>
      <c r="G79" s="221" t="n"/>
      <c r="H79" s="221" t="n"/>
      <c r="I79" s="221" t="n"/>
      <c r="J79" s="221" t="n"/>
      <c r="K79" s="221" t="n"/>
      <c r="L79" s="222" t="n"/>
      <c r="M79" s="222" t="n"/>
      <c r="N79" s="221" t="n"/>
      <c r="O79" s="221" t="n"/>
      <c r="P79" s="222" t="n"/>
      <c r="Q79" s="222" t="n"/>
      <c r="R79" s="162" t="inlineStr">
        <is>
          <t>SPD03014_SPP_4-辅助生产费用分摊权重数配置表</t>
        </is>
      </c>
      <c r="S79" s="158" t="inlineStr">
        <is>
          <t>截屏类电子文件【Electronic document】</t>
        </is>
      </c>
      <c r="T79" s="221" t="n"/>
      <c r="U79" s="163" t="inlineStr">
        <is>
          <t>辅助生产费用分摊权重数Numbers of weights for the allocation of auxiliary production costs</t>
        </is>
      </c>
      <c r="V79" s="164" t="inlineStr">
        <is>
          <t>N/A不适用</t>
        </is>
      </c>
      <c r="W79" s="164" t="inlineStr">
        <is>
          <t>Not selected未选</t>
        </is>
      </c>
      <c r="X79" s="164" t="inlineStr">
        <is>
          <t>N/A不适用</t>
        </is>
      </c>
      <c r="Y79" s="165" t="n"/>
      <c r="Z79" s="153" t="n"/>
    </row>
    <row r="80" ht="16" customHeight="1">
      <c r="B80" s="221" t="n"/>
      <c r="C80" s="221" t="n"/>
      <c r="D80" s="221" t="n"/>
      <c r="E80" s="221" t="n"/>
      <c r="F80" s="221" t="n"/>
      <c r="G80" s="221" t="n"/>
      <c r="H80" s="221" t="n"/>
      <c r="I80" s="221" t="n"/>
      <c r="J80" s="221" t="n"/>
      <c r="K80" s="221" t="n"/>
      <c r="L80" s="222" t="n"/>
      <c r="M80" s="222" t="n"/>
      <c r="N80" s="221" t="n"/>
      <c r="O80" s="221" t="n"/>
      <c r="P80" s="222" t="n"/>
      <c r="Q80" s="222" t="n"/>
      <c r="R80" s="162" t="inlineStr">
        <is>
          <t>SPD03014_SPP_5-实际定额工时配置表</t>
        </is>
      </c>
      <c r="S80" s="158" t="inlineStr">
        <is>
          <t>截屏类电子文件【Electronic document】</t>
        </is>
      </c>
      <c r="T80" s="221" t="n"/>
      <c r="U80" s="163" t="inlineStr">
        <is>
          <t>实际定额工时Actual rated hours</t>
        </is>
      </c>
      <c r="V80" s="164" t="inlineStr">
        <is>
          <t>Agrees相符</t>
        </is>
      </c>
      <c r="W80" s="164" t="inlineStr">
        <is>
          <t>Reasonable合理</t>
        </is>
      </c>
      <c r="X80" s="164" t="inlineStr">
        <is>
          <t>Yes是</t>
        </is>
      </c>
      <c r="Y80" s="165" t="n"/>
      <c r="Z80" s="153" t="n"/>
    </row>
    <row r="81" ht="16" customHeight="1">
      <c r="B81" s="221" t="n"/>
      <c r="C81" s="221" t="n"/>
      <c r="D81" s="221" t="n"/>
      <c r="E81" s="221" t="n"/>
      <c r="F81" s="221" t="n"/>
      <c r="G81" s="221" t="n"/>
      <c r="H81" s="221" t="n"/>
      <c r="I81" s="221" t="n"/>
      <c r="J81" s="221" t="n"/>
      <c r="K81" s="221" t="n"/>
      <c r="L81" s="222" t="n"/>
      <c r="M81" s="222" t="n"/>
      <c r="N81" s="221" t="n"/>
      <c r="O81" s="221" t="n"/>
      <c r="P81" s="222" t="n"/>
      <c r="Q81" s="222" t="n"/>
      <c r="R81" s="162" t="inlineStr">
        <is>
          <t>SPD03014_SPP_6-&lt;CO03_成本分析&gt;表</t>
        </is>
      </c>
      <c r="S81" s="158" t="inlineStr">
        <is>
          <t>清单类电子数据【Electronic data】</t>
        </is>
      </c>
      <c r="T81" s="221" t="n"/>
      <c r="U81" s="163" t="inlineStr">
        <is>
          <t>完工数量Completed quantity
实际成本[“总的实际成本”]Actual cost ["total actual cost"]</t>
        </is>
      </c>
      <c r="V81" s="164" t="inlineStr">
        <is>
          <t>Agrees相符</t>
        </is>
      </c>
      <c r="W81" s="164" t="inlineStr">
        <is>
          <t>Reasonable合理</t>
        </is>
      </c>
      <c r="X81" s="164" t="inlineStr">
        <is>
          <t>Yes是</t>
        </is>
      </c>
      <c r="Y81" s="165" t="n"/>
      <c r="Z81" s="153" t="n"/>
    </row>
    <row r="82" ht="16" customHeight="1">
      <c r="B82" s="223" t="n"/>
      <c r="C82" s="223" t="n"/>
      <c r="D82" s="223" t="n"/>
      <c r="E82" s="223" t="n"/>
      <c r="F82" s="223" t="n"/>
      <c r="G82" s="223" t="n"/>
      <c r="H82" s="223" t="n"/>
      <c r="I82" s="223" t="n"/>
      <c r="J82" s="223" t="n"/>
      <c r="K82" s="223" t="n"/>
      <c r="L82" s="224" t="n"/>
      <c r="M82" s="224" t="n"/>
      <c r="N82" s="223" t="n"/>
      <c r="O82" s="223" t="n"/>
      <c r="P82" s="224" t="n"/>
      <c r="Q82" s="224" t="n"/>
      <c r="R82" s="162" t="inlineStr">
        <is>
          <t>SPD03014_SPP_7-工艺路线配置表</t>
        </is>
      </c>
      <c r="S82" s="158" t="inlineStr">
        <is>
          <t>截屏类电子文件【Electronic document】</t>
        </is>
      </c>
      <c r="T82" s="223" t="n"/>
      <c r="U82" s="163" t="inlineStr">
        <is>
          <t>工序编码/名称Process Route ID/Name
工序数量Process Route Quantity</t>
        </is>
      </c>
      <c r="V82" s="164" t="inlineStr">
        <is>
          <t>N/A不适用</t>
        </is>
      </c>
      <c r="W82" s="164" t="inlineStr">
        <is>
          <t>Not selected未选</t>
        </is>
      </c>
      <c r="X82" s="164" t="inlineStr">
        <is>
          <t>N/A不适用</t>
        </is>
      </c>
      <c r="Y82" s="165" t="n"/>
      <c r="Z82" s="153" t="n"/>
    </row>
    <row r="83" outlineLevel="1" ht="16" customHeight="1">
      <c r="B83" s="220" t="inlineStr">
        <is>
          <t>样本3</t>
        </is>
      </c>
      <c r="C83" s="155" t="n">
        <v>12006492</v>
      </c>
      <c r="D83" s="156" t="inlineStr">
        <is>
          <t>1100P00002</t>
        </is>
      </c>
      <c r="E83" s="155" t="n">
        <v>11001846</v>
      </c>
      <c r="F83" s="155" t="inlineStr">
        <is>
          <t>低值易耗</t>
        </is>
      </c>
      <c r="G83" s="158">
        <f>G77</f>
        <v/>
      </c>
      <c r="H83" s="158">
        <f>'CO03'!E174</f>
        <v/>
      </c>
      <c r="I83" s="158">
        <f>'CO03'!F174</f>
        <v/>
      </c>
      <c r="J83" s="158">
        <f>'CO03'!G174</f>
        <v/>
      </c>
      <c r="K83" s="158">
        <f>KSBT!Z121</f>
        <v/>
      </c>
      <c r="L83" s="159">
        <f>0*G83-H83</f>
        <v/>
      </c>
      <c r="M83" s="160">
        <f>L83-J83</f>
        <v/>
      </c>
      <c r="N83" s="157">
        <f>G83</f>
        <v/>
      </c>
      <c r="O83" s="157" t="inlineStr">
        <is>
          <t>不适用</t>
        </is>
      </c>
      <c r="P83" s="160">
        <f>'3611'!AB167</f>
        <v/>
      </c>
      <c r="Q83" s="161">
        <f>P83-K83</f>
        <v/>
      </c>
      <c r="R83" s="162" t="inlineStr">
        <is>
          <t>SPD03014_SPP_2-制造费用费率配置表</t>
        </is>
      </c>
      <c r="S83" s="158" t="inlineStr">
        <is>
          <t>截屏类电子文件【Electronic document】</t>
        </is>
      </c>
      <c r="T83" s="158">
        <f>N83</f>
        <v/>
      </c>
      <c r="U83" s="163" t="inlineStr">
        <is>
          <t>制造费用费率manufacturing overhead cost rate</t>
        </is>
      </c>
      <c r="V83" s="164" t="inlineStr">
        <is>
          <t>Agrees相符</t>
        </is>
      </c>
      <c r="W83" s="164" t="inlineStr">
        <is>
          <t>Reasonable合理</t>
        </is>
      </c>
      <c r="X83" s="164" t="inlineStr">
        <is>
          <t>Yes是</t>
        </is>
      </c>
      <c r="Y83" s="165" t="n"/>
      <c r="Z83" s="153" t="n"/>
    </row>
    <row r="84" outlineLevel="1" ht="16" customHeight="1">
      <c r="B84" s="221" t="n"/>
      <c r="C84" s="221" t="n"/>
      <c r="D84" s="221" t="n"/>
      <c r="E84" s="221" t="n"/>
      <c r="F84" s="221" t="n"/>
      <c r="G84" s="221" t="n"/>
      <c r="H84" s="221" t="n"/>
      <c r="I84" s="221" t="n"/>
      <c r="J84" s="221" t="n"/>
      <c r="K84" s="221" t="n"/>
      <c r="L84" s="222" t="n"/>
      <c r="M84" s="222" t="n"/>
      <c r="N84" s="221" t="n"/>
      <c r="O84" s="221" t="n"/>
      <c r="P84" s="222" t="n"/>
      <c r="Q84" s="222" t="n"/>
      <c r="R84" s="162" t="inlineStr">
        <is>
          <t>SPD03014_SPP_3-成本中心、成本要素、成本要素组对应关系配置表</t>
        </is>
      </c>
      <c r="S84" s="158" t="inlineStr">
        <is>
          <t>截屏类电子文件【Electronic document】</t>
        </is>
      </c>
      <c r="T84" s="221" t="n"/>
      <c r="U84" s="163" t="inlineStr">
        <is>
          <t>成本中心编码/名称Cost centres ID/Name
成本要素编码/名称cost elements ID/Name
成本要素组编码/名称cost element groups ID/Name</t>
        </is>
      </c>
      <c r="V84" s="164" t="inlineStr">
        <is>
          <t>N/A不适用</t>
        </is>
      </c>
      <c r="W84" s="164" t="inlineStr">
        <is>
          <t>Not selected未选</t>
        </is>
      </c>
      <c r="X84" s="164" t="inlineStr">
        <is>
          <t>N/A不适用</t>
        </is>
      </c>
      <c r="Y84" s="165" t="n"/>
      <c r="Z84" s="153" t="n"/>
    </row>
    <row r="85" ht="16" customHeight="1">
      <c r="B85" s="221" t="n"/>
      <c r="C85" s="221" t="n"/>
      <c r="D85" s="221" t="n"/>
      <c r="E85" s="221" t="n"/>
      <c r="F85" s="221" t="n"/>
      <c r="G85" s="221" t="n"/>
      <c r="H85" s="221" t="n"/>
      <c r="I85" s="221" t="n"/>
      <c r="J85" s="221" t="n"/>
      <c r="K85" s="221" t="n"/>
      <c r="L85" s="222" t="n"/>
      <c r="M85" s="222" t="n"/>
      <c r="N85" s="221" t="n"/>
      <c r="O85" s="221" t="n"/>
      <c r="P85" s="222" t="n"/>
      <c r="Q85" s="222" t="n"/>
      <c r="R85" s="162" t="inlineStr">
        <is>
          <t>SPD03014_SPP_4-辅助生产费用分摊权重数配置表</t>
        </is>
      </c>
      <c r="S85" s="158" t="inlineStr">
        <is>
          <t>截屏类电子文件【Electronic document】</t>
        </is>
      </c>
      <c r="T85" s="221" t="n"/>
      <c r="U85" s="163" t="inlineStr">
        <is>
          <t>辅助生产费用分摊权重数Numbers of weights for the allocation of auxiliary production costs</t>
        </is>
      </c>
      <c r="V85" s="164" t="inlineStr">
        <is>
          <t>N/A不适用</t>
        </is>
      </c>
      <c r="W85" s="164" t="inlineStr">
        <is>
          <t>Not selected未选</t>
        </is>
      </c>
      <c r="X85" s="164" t="inlineStr">
        <is>
          <t>N/A不适用</t>
        </is>
      </c>
      <c r="Y85" s="165" t="n"/>
      <c r="Z85" s="153" t="n"/>
    </row>
    <row r="86" ht="16" customHeight="1">
      <c r="B86" s="221" t="n"/>
      <c r="C86" s="221" t="n"/>
      <c r="D86" s="221" t="n"/>
      <c r="E86" s="221" t="n"/>
      <c r="F86" s="221" t="n"/>
      <c r="G86" s="221" t="n"/>
      <c r="H86" s="221" t="n"/>
      <c r="I86" s="221" t="n"/>
      <c r="J86" s="221" t="n"/>
      <c r="K86" s="221" t="n"/>
      <c r="L86" s="222" t="n"/>
      <c r="M86" s="222" t="n"/>
      <c r="N86" s="221" t="n"/>
      <c r="O86" s="221" t="n"/>
      <c r="P86" s="222" t="n"/>
      <c r="Q86" s="222" t="n"/>
      <c r="R86" s="162" t="inlineStr">
        <is>
          <t>SPD03014_SPP_5-实际定额工时配置表</t>
        </is>
      </c>
      <c r="S86" s="158" t="inlineStr">
        <is>
          <t>截屏类电子文件【Electronic document】</t>
        </is>
      </c>
      <c r="T86" s="221" t="n"/>
      <c r="U86" s="163" t="inlineStr">
        <is>
          <t>实际定额工时Actual rated hours</t>
        </is>
      </c>
      <c r="V86" s="164" t="inlineStr">
        <is>
          <t>Agrees相符</t>
        </is>
      </c>
      <c r="W86" s="164" t="inlineStr">
        <is>
          <t>Reasonable合理</t>
        </is>
      </c>
      <c r="X86" s="164" t="inlineStr">
        <is>
          <t>Yes是</t>
        </is>
      </c>
      <c r="Y86" s="165" t="n"/>
      <c r="Z86" s="153" t="n"/>
    </row>
    <row r="87" ht="16" customHeight="1">
      <c r="B87" s="221" t="n"/>
      <c r="C87" s="221" t="n"/>
      <c r="D87" s="221" t="n"/>
      <c r="E87" s="221" t="n"/>
      <c r="F87" s="221" t="n"/>
      <c r="G87" s="221" t="n"/>
      <c r="H87" s="221" t="n"/>
      <c r="I87" s="221" t="n"/>
      <c r="J87" s="221" t="n"/>
      <c r="K87" s="221" t="n"/>
      <c r="L87" s="222" t="n"/>
      <c r="M87" s="222" t="n"/>
      <c r="N87" s="221" t="n"/>
      <c r="O87" s="221" t="n"/>
      <c r="P87" s="222" t="n"/>
      <c r="Q87" s="222" t="n"/>
      <c r="R87" s="162" t="inlineStr">
        <is>
          <t>SPD03014_SPP_6-&lt;CO03_成本分析&gt;表</t>
        </is>
      </c>
      <c r="S87" s="158" t="inlineStr">
        <is>
          <t>清单类电子数据【Electronic data】</t>
        </is>
      </c>
      <c r="T87" s="221" t="n"/>
      <c r="U87" s="163" t="inlineStr">
        <is>
          <t>完工数量Completed quantity
实际成本[“总的实际成本”]Actual cost ["total actual cost"]</t>
        </is>
      </c>
      <c r="V87" s="164" t="inlineStr">
        <is>
          <t>Agrees相符</t>
        </is>
      </c>
      <c r="W87" s="164" t="inlineStr">
        <is>
          <t>Reasonable合理</t>
        </is>
      </c>
      <c r="X87" s="164" t="inlineStr">
        <is>
          <t>Yes是</t>
        </is>
      </c>
      <c r="Y87" s="165" t="n"/>
      <c r="Z87" s="153" t="n"/>
    </row>
    <row r="88" ht="16" customHeight="1">
      <c r="B88" s="223" t="n"/>
      <c r="C88" s="223" t="n"/>
      <c r="D88" s="223" t="n"/>
      <c r="E88" s="223" t="n"/>
      <c r="F88" s="223" t="n"/>
      <c r="G88" s="223" t="n"/>
      <c r="H88" s="223" t="n"/>
      <c r="I88" s="223" t="n"/>
      <c r="J88" s="223" t="n"/>
      <c r="K88" s="223" t="n"/>
      <c r="L88" s="224" t="n"/>
      <c r="M88" s="224" t="n"/>
      <c r="N88" s="223" t="n"/>
      <c r="O88" s="223" t="n"/>
      <c r="P88" s="224" t="n"/>
      <c r="Q88" s="224" t="n"/>
      <c r="R88" s="162" t="inlineStr">
        <is>
          <t>SPD03014_SPP_7-工艺路线配置表</t>
        </is>
      </c>
      <c r="S88" s="158" t="inlineStr">
        <is>
          <t>截屏类电子文件【Electronic document】</t>
        </is>
      </c>
      <c r="T88" s="223" t="n"/>
      <c r="U88" s="163" t="inlineStr">
        <is>
          <t>工序编码/名称Process Route ID/Name
工序数量Process Route Quantity</t>
        </is>
      </c>
      <c r="V88" s="164" t="inlineStr">
        <is>
          <t>N/A不适用</t>
        </is>
      </c>
      <c r="W88" s="164" t="inlineStr">
        <is>
          <t>Not selected未选</t>
        </is>
      </c>
      <c r="X88" s="164" t="inlineStr">
        <is>
          <t>N/A不适用</t>
        </is>
      </c>
      <c r="Y88" s="165" t="n"/>
      <c r="Z88" s="153" t="n"/>
    </row>
    <row r="89" outlineLevel="1" ht="16" customHeight="1">
      <c r="B89" s="220" t="inlineStr">
        <is>
          <t>样本3</t>
        </is>
      </c>
      <c r="C89" s="155" t="n">
        <v>12006492</v>
      </c>
      <c r="D89" s="156" t="inlineStr">
        <is>
          <t>1100P00002</t>
        </is>
      </c>
      <c r="E89" s="155" t="n">
        <v>11001846</v>
      </c>
      <c r="F89" s="155" t="inlineStr">
        <is>
          <t>其他</t>
        </is>
      </c>
      <c r="G89" s="158">
        <f>G83</f>
        <v/>
      </c>
      <c r="H89" s="158">
        <f>'CO03'!E175</f>
        <v/>
      </c>
      <c r="I89" s="158">
        <f>'CO03'!F175</f>
        <v/>
      </c>
      <c r="J89" s="158">
        <f>'CO03'!G175</f>
        <v/>
      </c>
      <c r="K89" s="158">
        <f>KSBT!Z122</f>
        <v/>
      </c>
      <c r="L89" s="159">
        <f>0*G89-H89</f>
        <v/>
      </c>
      <c r="M89" s="160">
        <f>L89-J89</f>
        <v/>
      </c>
      <c r="N89" s="157">
        <f>G89</f>
        <v/>
      </c>
      <c r="O89" s="157" t="inlineStr">
        <is>
          <t>不适用</t>
        </is>
      </c>
      <c r="P89" s="160">
        <f>'3611'!AB168</f>
        <v/>
      </c>
      <c r="Q89" s="161">
        <f>P89-K89</f>
        <v/>
      </c>
      <c r="R89" s="162" t="inlineStr">
        <is>
          <t>SPD03014_SPP_2-制造费用费率配置表</t>
        </is>
      </c>
      <c r="S89" s="158" t="inlineStr">
        <is>
          <t>截屏类电子文件【Electronic document】</t>
        </is>
      </c>
      <c r="T89" s="158">
        <f>N89</f>
        <v/>
      </c>
      <c r="U89" s="163" t="inlineStr">
        <is>
          <t>制造费用费率manufacturing overhead cost rate</t>
        </is>
      </c>
      <c r="V89" s="164" t="inlineStr">
        <is>
          <t>Agrees相符</t>
        </is>
      </c>
      <c r="W89" s="164" t="inlineStr">
        <is>
          <t>Reasonable合理</t>
        </is>
      </c>
      <c r="X89" s="164" t="inlineStr">
        <is>
          <t>Yes是</t>
        </is>
      </c>
      <c r="Y89" s="165" t="n"/>
      <c r="Z89" s="153" t="n"/>
    </row>
    <row r="90" outlineLevel="1" ht="16" customHeight="1">
      <c r="B90" s="221" t="n"/>
      <c r="C90" s="221" t="n"/>
      <c r="D90" s="221" t="n"/>
      <c r="E90" s="221" t="n"/>
      <c r="F90" s="221" t="n"/>
      <c r="G90" s="221" t="n"/>
      <c r="H90" s="221" t="n"/>
      <c r="I90" s="221" t="n"/>
      <c r="J90" s="221" t="n"/>
      <c r="K90" s="221" t="n"/>
      <c r="L90" s="222" t="n"/>
      <c r="M90" s="222" t="n"/>
      <c r="N90" s="221" t="n"/>
      <c r="O90" s="221" t="n"/>
      <c r="P90" s="222" t="n"/>
      <c r="Q90" s="222" t="n"/>
      <c r="R90" s="162" t="inlineStr">
        <is>
          <t>SPD03014_SPP_3-成本中心、成本要素、成本要素组对应关系配置表</t>
        </is>
      </c>
      <c r="S90" s="158" t="inlineStr">
        <is>
          <t>截屏类电子文件【Electronic document】</t>
        </is>
      </c>
      <c r="T90" s="221" t="n"/>
      <c r="U90" s="163" t="inlineStr">
        <is>
          <t>成本中心编码/名称Cost centres ID/Name
成本要素编码/名称cost elements ID/Name
成本要素组编码/名称cost element groups ID/Name</t>
        </is>
      </c>
      <c r="V90" s="164" t="inlineStr">
        <is>
          <t>N/A不适用</t>
        </is>
      </c>
      <c r="W90" s="164" t="inlineStr">
        <is>
          <t>Not selected未选</t>
        </is>
      </c>
      <c r="X90" s="164" t="inlineStr">
        <is>
          <t>N/A不适用</t>
        </is>
      </c>
      <c r="Y90" s="165" t="n"/>
      <c r="Z90" s="153" t="n"/>
    </row>
    <row r="91" ht="16" customHeight="1">
      <c r="B91" s="221" t="n"/>
      <c r="C91" s="221" t="n"/>
      <c r="D91" s="221" t="n"/>
      <c r="E91" s="221" t="n"/>
      <c r="F91" s="221" t="n"/>
      <c r="G91" s="221" t="n"/>
      <c r="H91" s="221" t="n"/>
      <c r="I91" s="221" t="n"/>
      <c r="J91" s="221" t="n"/>
      <c r="K91" s="221" t="n"/>
      <c r="L91" s="222" t="n"/>
      <c r="M91" s="222" t="n"/>
      <c r="N91" s="221" t="n"/>
      <c r="O91" s="221" t="n"/>
      <c r="P91" s="222" t="n"/>
      <c r="Q91" s="222" t="n"/>
      <c r="R91" s="162" t="inlineStr">
        <is>
          <t>SPD03014_SPP_4-辅助生产费用分摊权重数配置表</t>
        </is>
      </c>
      <c r="S91" s="158" t="inlineStr">
        <is>
          <t>截屏类电子文件【Electronic document】</t>
        </is>
      </c>
      <c r="T91" s="221" t="n"/>
      <c r="U91" s="163" t="inlineStr">
        <is>
          <t>辅助生产费用分摊权重数Numbers of weights for the allocation of auxiliary production costs</t>
        </is>
      </c>
      <c r="V91" s="164" t="inlineStr">
        <is>
          <t>N/A不适用</t>
        </is>
      </c>
      <c r="W91" s="164" t="inlineStr">
        <is>
          <t>Not selected未选</t>
        </is>
      </c>
      <c r="X91" s="164" t="inlineStr">
        <is>
          <t>N/A不适用</t>
        </is>
      </c>
      <c r="Y91" s="165" t="n"/>
      <c r="Z91" s="153" t="n"/>
    </row>
    <row r="92" ht="16" customHeight="1">
      <c r="B92" s="221" t="n"/>
      <c r="C92" s="221" t="n"/>
      <c r="D92" s="221" t="n"/>
      <c r="E92" s="221" t="n"/>
      <c r="F92" s="221" t="n"/>
      <c r="G92" s="221" t="n"/>
      <c r="H92" s="221" t="n"/>
      <c r="I92" s="221" t="n"/>
      <c r="J92" s="221" t="n"/>
      <c r="K92" s="221" t="n"/>
      <c r="L92" s="222" t="n"/>
      <c r="M92" s="222" t="n"/>
      <c r="N92" s="221" t="n"/>
      <c r="O92" s="221" t="n"/>
      <c r="P92" s="222" t="n"/>
      <c r="Q92" s="222" t="n"/>
      <c r="R92" s="162" t="inlineStr">
        <is>
          <t>SPD03014_SPP_5-实际定额工时配置表</t>
        </is>
      </c>
      <c r="S92" s="158" t="inlineStr">
        <is>
          <t>截屏类电子文件【Electronic document】</t>
        </is>
      </c>
      <c r="T92" s="221" t="n"/>
      <c r="U92" s="163" t="inlineStr">
        <is>
          <t>实际定额工时Actual rated hours</t>
        </is>
      </c>
      <c r="V92" s="164" t="inlineStr">
        <is>
          <t>Agrees相符</t>
        </is>
      </c>
      <c r="W92" s="164" t="inlineStr">
        <is>
          <t>Reasonable合理</t>
        </is>
      </c>
      <c r="X92" s="164" t="inlineStr">
        <is>
          <t>Yes是</t>
        </is>
      </c>
      <c r="Y92" s="165" t="n"/>
      <c r="Z92" s="153" t="n"/>
    </row>
    <row r="93" ht="16" customHeight="1">
      <c r="B93" s="221" t="n"/>
      <c r="C93" s="221" t="n"/>
      <c r="D93" s="221" t="n"/>
      <c r="E93" s="221" t="n"/>
      <c r="F93" s="221" t="n"/>
      <c r="G93" s="221" t="n"/>
      <c r="H93" s="221" t="n"/>
      <c r="I93" s="221" t="n"/>
      <c r="J93" s="221" t="n"/>
      <c r="K93" s="221" t="n"/>
      <c r="L93" s="222" t="n"/>
      <c r="M93" s="222" t="n"/>
      <c r="N93" s="221" t="n"/>
      <c r="O93" s="221" t="n"/>
      <c r="P93" s="222" t="n"/>
      <c r="Q93" s="222" t="n"/>
      <c r="R93" s="162" t="inlineStr">
        <is>
          <t>SPD03014_SPP_6-&lt;CO03_成本分析&gt;表</t>
        </is>
      </c>
      <c r="S93" s="158" t="inlineStr">
        <is>
          <t>清单类电子数据【Electronic data】</t>
        </is>
      </c>
      <c r="T93" s="221" t="n"/>
      <c r="U93" s="163" t="inlineStr">
        <is>
          <t>完工数量Completed quantity
实际成本[“总的实际成本”]Actual cost ["total actual cost"]</t>
        </is>
      </c>
      <c r="V93" s="164" t="inlineStr">
        <is>
          <t>Agrees相符</t>
        </is>
      </c>
      <c r="W93" s="164" t="inlineStr">
        <is>
          <t>Reasonable合理</t>
        </is>
      </c>
      <c r="X93" s="164" t="inlineStr">
        <is>
          <t>Yes是</t>
        </is>
      </c>
      <c r="Y93" s="165" t="n"/>
      <c r="Z93" s="153" t="n"/>
    </row>
    <row r="94" ht="16" customHeight="1">
      <c r="B94" s="223" t="n"/>
      <c r="C94" s="223" t="n"/>
      <c r="D94" s="223" t="n"/>
      <c r="E94" s="223" t="n"/>
      <c r="F94" s="223" t="n"/>
      <c r="G94" s="223" t="n"/>
      <c r="H94" s="223" t="n"/>
      <c r="I94" s="223" t="n"/>
      <c r="J94" s="223" t="n"/>
      <c r="K94" s="223" t="n"/>
      <c r="L94" s="224" t="n"/>
      <c r="M94" s="224" t="n"/>
      <c r="N94" s="223" t="n"/>
      <c r="O94" s="223" t="n"/>
      <c r="P94" s="224" t="n"/>
      <c r="Q94" s="224" t="n"/>
      <c r="R94" s="162" t="inlineStr">
        <is>
          <t>SPD03014_SPP_7-工艺路线配置表</t>
        </is>
      </c>
      <c r="S94" s="158" t="inlineStr">
        <is>
          <t>截屏类电子文件【Electronic document】</t>
        </is>
      </c>
      <c r="T94" s="223" t="n"/>
      <c r="U94" s="163" t="inlineStr">
        <is>
          <t>工序编码/名称Process Route ID/Name
工序数量Process Route Quantity</t>
        </is>
      </c>
      <c r="V94" s="164" t="inlineStr">
        <is>
          <t>N/A不适用</t>
        </is>
      </c>
      <c r="W94" s="164" t="inlineStr">
        <is>
          <t>Not selected未选</t>
        </is>
      </c>
      <c r="X94" s="164" t="inlineStr">
        <is>
          <t>N/A不适用</t>
        </is>
      </c>
      <c r="Y94" s="165" t="n"/>
      <c r="Z94" s="153" t="n"/>
    </row>
    <row r="95" outlineLevel="1" ht="16" customHeight="1">
      <c r="B95" s="220" t="inlineStr">
        <is>
          <t>样本4</t>
        </is>
      </c>
      <c r="C95" s="155">
        <f>'SPD03012-IRM(SAP)'!C109</f>
        <v/>
      </c>
      <c r="D95" s="156">
        <f>'SPD03012-IRM(SAP)'!D109</f>
        <v/>
      </c>
      <c r="E95" s="155">
        <f>'SPD03012-IRM(SAP)'!E109</f>
        <v/>
      </c>
      <c r="F95" s="155" t="inlineStr">
        <is>
          <t>间接人工</t>
        </is>
      </c>
      <c r="G95" s="157">
        <f>'CO03'!H230</f>
        <v/>
      </c>
      <c r="H95" s="158">
        <f>'CO03'!E231</f>
        <v/>
      </c>
      <c r="I95" s="158">
        <f>'CO03'!F231</f>
        <v/>
      </c>
      <c r="J95" s="158">
        <f>'CO03'!G231</f>
        <v/>
      </c>
      <c r="K95" s="158">
        <f>KSBT!Z170</f>
        <v/>
      </c>
      <c r="L95" s="159">
        <f>I95/N95*G95-H95</f>
        <v/>
      </c>
      <c r="M95" s="160">
        <f>L95-J95</f>
        <v/>
      </c>
      <c r="N95" s="157">
        <f>G95</f>
        <v/>
      </c>
      <c r="O95" s="157" t="inlineStr">
        <is>
          <t>不适用</t>
        </is>
      </c>
      <c r="P95" s="160">
        <f>'3611'!AB260</f>
        <v/>
      </c>
      <c r="Q95" s="161">
        <f>P95-K95</f>
        <v/>
      </c>
      <c r="R95" s="162" t="inlineStr">
        <is>
          <t>SPD03014_SPP_2-制造费用费率配置表</t>
        </is>
      </c>
      <c r="S95" s="158" t="inlineStr">
        <is>
          <t>截屏类电子文件【Electronic document】</t>
        </is>
      </c>
      <c r="T95" s="158">
        <f>N95</f>
        <v/>
      </c>
      <c r="U95" s="163" t="inlineStr">
        <is>
          <t>制造费用费率manufacturing overhead cost rate</t>
        </is>
      </c>
      <c r="V95" s="164" t="inlineStr">
        <is>
          <t>Agrees相符</t>
        </is>
      </c>
      <c r="W95" s="164" t="inlineStr">
        <is>
          <t>Reasonable合理</t>
        </is>
      </c>
      <c r="X95" s="164" t="inlineStr">
        <is>
          <t>Yes是</t>
        </is>
      </c>
      <c r="Y95" s="165" t="n"/>
      <c r="Z95" s="153" t="n"/>
    </row>
    <row r="96" outlineLevel="1" ht="16" customHeight="1">
      <c r="B96" s="221" t="n"/>
      <c r="C96" s="221" t="n"/>
      <c r="D96" s="221" t="n"/>
      <c r="E96" s="221" t="n"/>
      <c r="F96" s="221" t="n"/>
      <c r="G96" s="221" t="n"/>
      <c r="H96" s="221" t="n"/>
      <c r="I96" s="221" t="n"/>
      <c r="J96" s="221" t="n"/>
      <c r="K96" s="221" t="n"/>
      <c r="L96" s="222" t="n"/>
      <c r="M96" s="222" t="n"/>
      <c r="N96" s="221" t="n"/>
      <c r="O96" s="221" t="n"/>
      <c r="P96" s="222" t="n"/>
      <c r="Q96" s="222" t="n"/>
      <c r="R96" s="162" t="inlineStr">
        <is>
          <t>SPD03014_SPP_3-成本中心、成本要素、成本要素组对应关系配置表</t>
        </is>
      </c>
      <c r="S96" s="158" t="inlineStr">
        <is>
          <t>截屏类电子文件【Electronic document】</t>
        </is>
      </c>
      <c r="T96" s="221" t="n"/>
      <c r="U96" s="163" t="inlineStr">
        <is>
          <t>成本中心编码/名称Cost centres ID/Name
成本要素编码/名称cost elements ID/Name
成本要素组编码/名称cost element groups ID/Name</t>
        </is>
      </c>
      <c r="V96" s="164" t="inlineStr">
        <is>
          <t>N/A不适用</t>
        </is>
      </c>
      <c r="W96" s="164" t="inlineStr">
        <is>
          <t>Not selected未选</t>
        </is>
      </c>
      <c r="X96" s="164" t="inlineStr">
        <is>
          <t>N/A不适用</t>
        </is>
      </c>
      <c r="Y96" s="165" t="n"/>
      <c r="Z96" s="153" t="n"/>
    </row>
    <row r="97" ht="16" customHeight="1">
      <c r="B97" s="221" t="n"/>
      <c r="C97" s="221" t="n"/>
      <c r="D97" s="221" t="n"/>
      <c r="E97" s="221" t="n"/>
      <c r="F97" s="221" t="n"/>
      <c r="G97" s="221" t="n"/>
      <c r="H97" s="221" t="n"/>
      <c r="I97" s="221" t="n"/>
      <c r="J97" s="221" t="n"/>
      <c r="K97" s="221" t="n"/>
      <c r="L97" s="222" t="n"/>
      <c r="M97" s="222" t="n"/>
      <c r="N97" s="221" t="n"/>
      <c r="O97" s="221" t="n"/>
      <c r="P97" s="222" t="n"/>
      <c r="Q97" s="222" t="n"/>
      <c r="R97" s="162" t="inlineStr">
        <is>
          <t>SPD03014_SPP_4-辅助生产费用分摊权重数配置表</t>
        </is>
      </c>
      <c r="S97" s="158" t="inlineStr">
        <is>
          <t>截屏类电子文件【Electronic document】</t>
        </is>
      </c>
      <c r="T97" s="221" t="n"/>
      <c r="U97" s="163" t="inlineStr">
        <is>
          <t>辅助生产费用分摊权重数Numbers of weights for the allocation of auxiliary production costs</t>
        </is>
      </c>
      <c r="V97" s="164" t="inlineStr">
        <is>
          <t>N/A不适用</t>
        </is>
      </c>
      <c r="W97" s="164" t="inlineStr">
        <is>
          <t>Not selected未选</t>
        </is>
      </c>
      <c r="X97" s="164" t="inlineStr">
        <is>
          <t>N/A不适用</t>
        </is>
      </c>
      <c r="Y97" s="165" t="n"/>
      <c r="Z97" s="153" t="n"/>
    </row>
    <row r="98" ht="16" customHeight="1">
      <c r="B98" s="221" t="n"/>
      <c r="C98" s="221" t="n"/>
      <c r="D98" s="221" t="n"/>
      <c r="E98" s="221" t="n"/>
      <c r="F98" s="221" t="n"/>
      <c r="G98" s="221" t="n"/>
      <c r="H98" s="221" t="n"/>
      <c r="I98" s="221" t="n"/>
      <c r="J98" s="221" t="n"/>
      <c r="K98" s="221" t="n"/>
      <c r="L98" s="222" t="n"/>
      <c r="M98" s="222" t="n"/>
      <c r="N98" s="221" t="n"/>
      <c r="O98" s="221" t="n"/>
      <c r="P98" s="222" t="n"/>
      <c r="Q98" s="222" t="n"/>
      <c r="R98" s="162" t="inlineStr">
        <is>
          <t>SPD03014_SPP_5-实际定额工时配置表</t>
        </is>
      </c>
      <c r="S98" s="158" t="inlineStr">
        <is>
          <t>截屏类电子文件【Electronic document】</t>
        </is>
      </c>
      <c r="T98" s="221" t="n"/>
      <c r="U98" s="163" t="inlineStr">
        <is>
          <t>实际定额工时Actual rated hours</t>
        </is>
      </c>
      <c r="V98" s="164" t="inlineStr">
        <is>
          <t>Agrees相符</t>
        </is>
      </c>
      <c r="W98" s="164" t="inlineStr">
        <is>
          <t>Reasonable合理</t>
        </is>
      </c>
      <c r="X98" s="164" t="inlineStr">
        <is>
          <t>Yes是</t>
        </is>
      </c>
      <c r="Y98" s="165" t="n"/>
      <c r="Z98" s="153" t="n"/>
    </row>
    <row r="99" ht="16" customHeight="1">
      <c r="B99" s="221" t="n"/>
      <c r="C99" s="221" t="n"/>
      <c r="D99" s="221" t="n"/>
      <c r="E99" s="221" t="n"/>
      <c r="F99" s="221" t="n"/>
      <c r="G99" s="221" t="n"/>
      <c r="H99" s="221" t="n"/>
      <c r="I99" s="221" t="n"/>
      <c r="J99" s="221" t="n"/>
      <c r="K99" s="221" t="n"/>
      <c r="L99" s="222" t="n"/>
      <c r="M99" s="222" t="n"/>
      <c r="N99" s="221" t="n"/>
      <c r="O99" s="221" t="n"/>
      <c r="P99" s="222" t="n"/>
      <c r="Q99" s="222" t="n"/>
      <c r="R99" s="162" t="inlineStr">
        <is>
          <t>SPD03014_SPP_6-&lt;CO03_成本分析&gt;表</t>
        </is>
      </c>
      <c r="S99" s="158" t="inlineStr">
        <is>
          <t>清单类电子数据【Electronic data】</t>
        </is>
      </c>
      <c r="T99" s="221" t="n"/>
      <c r="U99" s="163" t="inlineStr">
        <is>
          <t>完工数量Completed quantity
实际成本[“总的实际成本”]Actual cost ["total actual cost"]</t>
        </is>
      </c>
      <c r="V99" s="164" t="inlineStr">
        <is>
          <t>Agrees相符</t>
        </is>
      </c>
      <c r="W99" s="164" t="inlineStr">
        <is>
          <t>Reasonable合理</t>
        </is>
      </c>
      <c r="X99" s="164" t="inlineStr">
        <is>
          <t>Yes是</t>
        </is>
      </c>
      <c r="Y99" s="165" t="n"/>
      <c r="Z99" s="153" t="n"/>
    </row>
    <row r="100" ht="16" customHeight="1">
      <c r="B100" s="223" t="n"/>
      <c r="C100" s="223" t="n"/>
      <c r="D100" s="223" t="n"/>
      <c r="E100" s="223" t="n"/>
      <c r="F100" s="223" t="n"/>
      <c r="G100" s="223" t="n"/>
      <c r="H100" s="223" t="n"/>
      <c r="I100" s="223" t="n"/>
      <c r="J100" s="223" t="n"/>
      <c r="K100" s="223" t="n"/>
      <c r="L100" s="224" t="n"/>
      <c r="M100" s="224" t="n"/>
      <c r="N100" s="223" t="n"/>
      <c r="O100" s="223" t="n"/>
      <c r="P100" s="224" t="n"/>
      <c r="Q100" s="224" t="n"/>
      <c r="R100" s="162" t="inlineStr">
        <is>
          <t>SPD03014_SPP_7-工艺路线配置表</t>
        </is>
      </c>
      <c r="S100" s="158" t="inlineStr">
        <is>
          <t>截屏类电子文件【Electronic document】</t>
        </is>
      </c>
      <c r="T100" s="223" t="n"/>
      <c r="U100" s="163" t="inlineStr">
        <is>
          <t>工序编码/名称Process Route ID/Name
工序数量Process Route Quantity</t>
        </is>
      </c>
      <c r="V100" s="164" t="inlineStr">
        <is>
          <t>N/A不适用</t>
        </is>
      </c>
      <c r="W100" s="164" t="inlineStr">
        <is>
          <t>Not selected未选</t>
        </is>
      </c>
      <c r="X100" s="164" t="inlineStr">
        <is>
          <t>N/A不适用</t>
        </is>
      </c>
      <c r="Y100" s="165" t="n"/>
      <c r="Z100" s="153" t="n"/>
    </row>
    <row r="101" outlineLevel="1" ht="16" customHeight="1">
      <c r="B101" s="220" t="inlineStr">
        <is>
          <t>样本4</t>
        </is>
      </c>
      <c r="C101" s="155" t="n">
        <v>12007933</v>
      </c>
      <c r="D101" s="156" t="inlineStr">
        <is>
          <t>1100P00002</t>
        </is>
      </c>
      <c r="E101" s="155" t="n">
        <v>11002963</v>
      </c>
      <c r="F101" s="155" t="inlineStr">
        <is>
          <t>能耗</t>
        </is>
      </c>
      <c r="G101" s="157">
        <f>G95</f>
        <v/>
      </c>
      <c r="H101" s="158">
        <f>'CO03'!E233</f>
        <v/>
      </c>
      <c r="I101" s="158">
        <f>'CO03'!F233</f>
        <v/>
      </c>
      <c r="J101" s="158">
        <f>'CO03'!G233</f>
        <v/>
      </c>
      <c r="K101" s="158">
        <f>KSBT!Z172</f>
        <v/>
      </c>
      <c r="L101" s="159">
        <f>I101/N101*G101-H101</f>
        <v/>
      </c>
      <c r="M101" s="160">
        <f>L101-J101</f>
        <v/>
      </c>
      <c r="N101" s="157">
        <f>G101</f>
        <v/>
      </c>
      <c r="O101" s="157" t="inlineStr">
        <is>
          <t>不适用</t>
        </is>
      </c>
      <c r="P101" s="160">
        <f>'3611'!AB262</f>
        <v/>
      </c>
      <c r="Q101" s="161">
        <f>P101-K101</f>
        <v/>
      </c>
      <c r="R101" s="162" t="inlineStr">
        <is>
          <t>SPD03014_SPP_2-制造费用费率配置表</t>
        </is>
      </c>
      <c r="S101" s="158" t="inlineStr">
        <is>
          <t>截屏类电子文件【Electronic document】</t>
        </is>
      </c>
      <c r="T101" s="158">
        <f>N101</f>
        <v/>
      </c>
      <c r="U101" s="163" t="inlineStr">
        <is>
          <t>制造费用费率manufacturing overhead cost rate</t>
        </is>
      </c>
      <c r="V101" s="164" t="inlineStr">
        <is>
          <t>Agrees相符</t>
        </is>
      </c>
      <c r="W101" s="164" t="inlineStr">
        <is>
          <t>Reasonable合理</t>
        </is>
      </c>
      <c r="X101" s="164" t="inlineStr">
        <is>
          <t>Yes是</t>
        </is>
      </c>
      <c r="Y101" s="165" t="n"/>
      <c r="Z101" s="153" t="n"/>
    </row>
    <row r="102" outlineLevel="1" ht="16" customHeight="1">
      <c r="B102" s="221" t="n"/>
      <c r="C102" s="221" t="n"/>
      <c r="D102" s="221" t="n"/>
      <c r="E102" s="221" t="n"/>
      <c r="F102" s="221" t="n"/>
      <c r="G102" s="221" t="n"/>
      <c r="H102" s="221" t="n"/>
      <c r="I102" s="221" t="n"/>
      <c r="J102" s="221" t="n"/>
      <c r="K102" s="221" t="n"/>
      <c r="L102" s="222" t="n"/>
      <c r="M102" s="222" t="n"/>
      <c r="N102" s="221" t="n"/>
      <c r="O102" s="221" t="n"/>
      <c r="P102" s="222" t="n"/>
      <c r="Q102" s="222" t="n"/>
      <c r="R102" s="162" t="inlineStr">
        <is>
          <t>SPD03014_SPP_3-成本中心、成本要素、成本要素组对应关系配置表</t>
        </is>
      </c>
      <c r="S102" s="158" t="inlineStr">
        <is>
          <t>截屏类电子文件【Electronic document】</t>
        </is>
      </c>
      <c r="T102" s="221" t="n"/>
      <c r="U102" s="163" t="inlineStr">
        <is>
          <t>成本中心编码/名称Cost centres ID/Name
成本要素编码/名称cost elements ID/Name
成本要素组编码/名称cost element groups ID/Name</t>
        </is>
      </c>
      <c r="V102" s="164" t="inlineStr">
        <is>
          <t>N/A不适用</t>
        </is>
      </c>
      <c r="W102" s="164" t="inlineStr">
        <is>
          <t>Not selected未选</t>
        </is>
      </c>
      <c r="X102" s="164" t="inlineStr">
        <is>
          <t>N/A不适用</t>
        </is>
      </c>
      <c r="Y102" s="165" t="n"/>
      <c r="Z102" s="153" t="n"/>
    </row>
    <row r="103" ht="16" customHeight="1">
      <c r="B103" s="221" t="n"/>
      <c r="C103" s="221" t="n"/>
      <c r="D103" s="221" t="n"/>
      <c r="E103" s="221" t="n"/>
      <c r="F103" s="221" t="n"/>
      <c r="G103" s="221" t="n"/>
      <c r="H103" s="221" t="n"/>
      <c r="I103" s="221" t="n"/>
      <c r="J103" s="221" t="n"/>
      <c r="K103" s="221" t="n"/>
      <c r="L103" s="222" t="n"/>
      <c r="M103" s="222" t="n"/>
      <c r="N103" s="221" t="n"/>
      <c r="O103" s="221" t="n"/>
      <c r="P103" s="222" t="n"/>
      <c r="Q103" s="222" t="n"/>
      <c r="R103" s="162" t="inlineStr">
        <is>
          <t>SPD03014_SPP_4-辅助生产费用分摊权重数配置表</t>
        </is>
      </c>
      <c r="S103" s="158" t="inlineStr">
        <is>
          <t>截屏类电子文件【Electronic document】</t>
        </is>
      </c>
      <c r="T103" s="221" t="n"/>
      <c r="U103" s="163" t="inlineStr">
        <is>
          <t>辅助生产费用分摊权重数Numbers of weights for the allocation of auxiliary production costs</t>
        </is>
      </c>
      <c r="V103" s="164" t="inlineStr">
        <is>
          <t>N/A不适用</t>
        </is>
      </c>
      <c r="W103" s="164" t="inlineStr">
        <is>
          <t>Not selected未选</t>
        </is>
      </c>
      <c r="X103" s="164" t="inlineStr">
        <is>
          <t>N/A不适用</t>
        </is>
      </c>
      <c r="Y103" s="165" t="n"/>
      <c r="Z103" s="153" t="n"/>
    </row>
    <row r="104" ht="16" customHeight="1">
      <c r="B104" s="221" t="n"/>
      <c r="C104" s="221" t="n"/>
      <c r="D104" s="221" t="n"/>
      <c r="E104" s="221" t="n"/>
      <c r="F104" s="221" t="n"/>
      <c r="G104" s="221" t="n"/>
      <c r="H104" s="221" t="n"/>
      <c r="I104" s="221" t="n"/>
      <c r="J104" s="221" t="n"/>
      <c r="K104" s="221" t="n"/>
      <c r="L104" s="222" t="n"/>
      <c r="M104" s="222" t="n"/>
      <c r="N104" s="221" t="n"/>
      <c r="O104" s="221" t="n"/>
      <c r="P104" s="222" t="n"/>
      <c r="Q104" s="222" t="n"/>
      <c r="R104" s="162" t="inlineStr">
        <is>
          <t>SPD03014_SPP_5-实际定额工时配置表</t>
        </is>
      </c>
      <c r="S104" s="158" t="inlineStr">
        <is>
          <t>截屏类电子文件【Electronic document】</t>
        </is>
      </c>
      <c r="T104" s="221" t="n"/>
      <c r="U104" s="163" t="inlineStr">
        <is>
          <t>实际定额工时Actual rated hours</t>
        </is>
      </c>
      <c r="V104" s="164" t="inlineStr">
        <is>
          <t>Agrees相符</t>
        </is>
      </c>
      <c r="W104" s="164" t="inlineStr">
        <is>
          <t>Reasonable合理</t>
        </is>
      </c>
      <c r="X104" s="164" t="inlineStr">
        <is>
          <t>Yes是</t>
        </is>
      </c>
      <c r="Y104" s="165" t="n"/>
      <c r="Z104" s="153" t="n"/>
    </row>
    <row r="105" ht="16" customHeight="1">
      <c r="B105" s="221" t="n"/>
      <c r="C105" s="221" t="n"/>
      <c r="D105" s="221" t="n"/>
      <c r="E105" s="221" t="n"/>
      <c r="F105" s="221" t="n"/>
      <c r="G105" s="221" t="n"/>
      <c r="H105" s="221" t="n"/>
      <c r="I105" s="221" t="n"/>
      <c r="J105" s="221" t="n"/>
      <c r="K105" s="221" t="n"/>
      <c r="L105" s="222" t="n"/>
      <c r="M105" s="222" t="n"/>
      <c r="N105" s="221" t="n"/>
      <c r="O105" s="221" t="n"/>
      <c r="P105" s="222" t="n"/>
      <c r="Q105" s="222" t="n"/>
      <c r="R105" s="162" t="inlineStr">
        <is>
          <t>SPD03014_SPP_6-&lt;CO03_成本分析&gt;表</t>
        </is>
      </c>
      <c r="S105" s="158" t="inlineStr">
        <is>
          <t>清单类电子数据【Electronic data】</t>
        </is>
      </c>
      <c r="T105" s="221" t="n"/>
      <c r="U105" s="163" t="inlineStr">
        <is>
          <t>完工数量Completed quantity
实际成本[“总的实际成本”]Actual cost ["total actual cost"]</t>
        </is>
      </c>
      <c r="V105" s="164" t="inlineStr">
        <is>
          <t>Agrees相符</t>
        </is>
      </c>
      <c r="W105" s="164" t="inlineStr">
        <is>
          <t>Reasonable合理</t>
        </is>
      </c>
      <c r="X105" s="164" t="inlineStr">
        <is>
          <t>Yes是</t>
        </is>
      </c>
      <c r="Y105" s="165" t="n"/>
      <c r="Z105" s="153" t="n"/>
    </row>
    <row r="106" ht="16" customHeight="1">
      <c r="B106" s="223" t="n"/>
      <c r="C106" s="223" t="n"/>
      <c r="D106" s="223" t="n"/>
      <c r="E106" s="223" t="n"/>
      <c r="F106" s="223" t="n"/>
      <c r="G106" s="223" t="n"/>
      <c r="H106" s="223" t="n"/>
      <c r="I106" s="223" t="n"/>
      <c r="J106" s="223" t="n"/>
      <c r="K106" s="223" t="n"/>
      <c r="L106" s="224" t="n"/>
      <c r="M106" s="224" t="n"/>
      <c r="N106" s="223" t="n"/>
      <c r="O106" s="223" t="n"/>
      <c r="P106" s="224" t="n"/>
      <c r="Q106" s="224" t="n"/>
      <c r="R106" s="162" t="inlineStr">
        <is>
          <t>SPD03014_SPP_7-工艺路线配置表</t>
        </is>
      </c>
      <c r="S106" s="158" t="inlineStr">
        <is>
          <t>截屏类电子文件【Electronic document】</t>
        </is>
      </c>
      <c r="T106" s="223" t="n"/>
      <c r="U106" s="163" t="inlineStr">
        <is>
          <t>工序编码/名称Process Route ID/Name
工序数量Process Route Quantity</t>
        </is>
      </c>
      <c r="V106" s="164" t="inlineStr">
        <is>
          <t>N/A不适用</t>
        </is>
      </c>
      <c r="W106" s="164" t="inlineStr">
        <is>
          <t>Not selected未选</t>
        </is>
      </c>
      <c r="X106" s="164" t="inlineStr">
        <is>
          <t>N/A不适用</t>
        </is>
      </c>
      <c r="Y106" s="165" t="n"/>
      <c r="Z106" s="153" t="n"/>
    </row>
    <row r="107" outlineLevel="1" ht="16" customHeight="1">
      <c r="B107" s="220" t="inlineStr">
        <is>
          <t>样本4</t>
        </is>
      </c>
      <c r="C107" s="155" t="n">
        <v>12007933</v>
      </c>
      <c r="D107" s="156" t="inlineStr">
        <is>
          <t>1100P00002</t>
        </is>
      </c>
      <c r="E107" s="155" t="n">
        <v>11002963</v>
      </c>
      <c r="F107" s="155" t="inlineStr">
        <is>
          <t>低值易耗</t>
        </is>
      </c>
      <c r="G107" s="157">
        <f>G101</f>
        <v/>
      </c>
      <c r="H107" s="158">
        <f>'CO03'!E234</f>
        <v/>
      </c>
      <c r="I107" s="158">
        <f>'CO03'!F234</f>
        <v/>
      </c>
      <c r="J107" s="158">
        <f>'CO03'!G234</f>
        <v/>
      </c>
      <c r="K107" s="158">
        <f>KSBT!Z173</f>
        <v/>
      </c>
      <c r="L107" s="159">
        <f>I107/N107*G107-H107</f>
        <v/>
      </c>
      <c r="M107" s="160">
        <f>L107-J107</f>
        <v/>
      </c>
      <c r="N107" s="157">
        <f>G107</f>
        <v/>
      </c>
      <c r="O107" s="157" t="inlineStr">
        <is>
          <t>不适用</t>
        </is>
      </c>
      <c r="P107" s="160">
        <f>'3611'!AB263</f>
        <v/>
      </c>
      <c r="Q107" s="161">
        <f>P107-K107</f>
        <v/>
      </c>
      <c r="R107" s="162" t="inlineStr">
        <is>
          <t>SPD03014_SPP_2-制造费用费率配置表</t>
        </is>
      </c>
      <c r="S107" s="158" t="inlineStr">
        <is>
          <t>截屏类电子文件【Electronic document】</t>
        </is>
      </c>
      <c r="T107" s="158">
        <f>N107</f>
        <v/>
      </c>
      <c r="U107" s="163" t="inlineStr">
        <is>
          <t>制造费用费率manufacturing overhead cost rate</t>
        </is>
      </c>
      <c r="V107" s="164" t="inlineStr">
        <is>
          <t>Agrees相符</t>
        </is>
      </c>
      <c r="W107" s="164" t="inlineStr">
        <is>
          <t>Reasonable合理</t>
        </is>
      </c>
      <c r="X107" s="164" t="inlineStr">
        <is>
          <t>Yes是</t>
        </is>
      </c>
      <c r="Y107" s="165" t="n"/>
      <c r="Z107" s="153" t="n"/>
    </row>
    <row r="108" outlineLevel="1" ht="16" customHeight="1">
      <c r="B108" s="221" t="n"/>
      <c r="C108" s="221" t="n"/>
      <c r="D108" s="221" t="n"/>
      <c r="E108" s="221" t="n"/>
      <c r="F108" s="221" t="n"/>
      <c r="G108" s="221" t="n"/>
      <c r="H108" s="221" t="n"/>
      <c r="I108" s="221" t="n"/>
      <c r="J108" s="221" t="n"/>
      <c r="K108" s="221" t="n"/>
      <c r="L108" s="222" t="n"/>
      <c r="M108" s="222" t="n"/>
      <c r="N108" s="221" t="n"/>
      <c r="O108" s="221" t="n"/>
      <c r="P108" s="222" t="n"/>
      <c r="Q108" s="222" t="n"/>
      <c r="R108" s="162" t="inlineStr">
        <is>
          <t>SPD03014_SPP_3-成本中心、成本要素、成本要素组对应关系配置表</t>
        </is>
      </c>
      <c r="S108" s="158" t="inlineStr">
        <is>
          <t>截屏类电子文件【Electronic document】</t>
        </is>
      </c>
      <c r="T108" s="221" t="n"/>
      <c r="U108" s="163" t="inlineStr">
        <is>
          <t>成本中心编码/名称Cost centres ID/Name
成本要素编码/名称cost elements ID/Name
成本要素组编码/名称cost element groups ID/Name</t>
        </is>
      </c>
      <c r="V108" s="164" t="inlineStr">
        <is>
          <t>N/A不适用</t>
        </is>
      </c>
      <c r="W108" s="164" t="inlineStr">
        <is>
          <t>Not selected未选</t>
        </is>
      </c>
      <c r="X108" s="164" t="inlineStr">
        <is>
          <t>N/A不适用</t>
        </is>
      </c>
      <c r="Y108" s="165" t="n"/>
      <c r="Z108" s="153" t="n"/>
    </row>
    <row r="109" ht="16" customHeight="1">
      <c r="B109" s="221" t="n"/>
      <c r="C109" s="221" t="n"/>
      <c r="D109" s="221" t="n"/>
      <c r="E109" s="221" t="n"/>
      <c r="F109" s="221" t="n"/>
      <c r="G109" s="221" t="n"/>
      <c r="H109" s="221" t="n"/>
      <c r="I109" s="221" t="n"/>
      <c r="J109" s="221" t="n"/>
      <c r="K109" s="221" t="n"/>
      <c r="L109" s="222" t="n"/>
      <c r="M109" s="222" t="n"/>
      <c r="N109" s="221" t="n"/>
      <c r="O109" s="221" t="n"/>
      <c r="P109" s="222" t="n"/>
      <c r="Q109" s="222" t="n"/>
      <c r="R109" s="162" t="inlineStr">
        <is>
          <t>SPD03014_SPP_4-辅助生产费用分摊权重数配置表</t>
        </is>
      </c>
      <c r="S109" s="158" t="inlineStr">
        <is>
          <t>截屏类电子文件【Electronic document】</t>
        </is>
      </c>
      <c r="T109" s="221" t="n"/>
      <c r="U109" s="163" t="inlineStr">
        <is>
          <t>辅助生产费用分摊权重数Numbers of weights for the allocation of auxiliary production costs</t>
        </is>
      </c>
      <c r="V109" s="164" t="inlineStr">
        <is>
          <t>N/A不适用</t>
        </is>
      </c>
      <c r="W109" s="164" t="inlineStr">
        <is>
          <t>Not selected未选</t>
        </is>
      </c>
      <c r="X109" s="164" t="inlineStr">
        <is>
          <t>N/A不适用</t>
        </is>
      </c>
      <c r="Y109" s="165" t="n"/>
      <c r="Z109" s="153" t="n"/>
    </row>
    <row r="110" ht="16" customHeight="1">
      <c r="B110" s="221" t="n"/>
      <c r="C110" s="221" t="n"/>
      <c r="D110" s="221" t="n"/>
      <c r="E110" s="221" t="n"/>
      <c r="F110" s="221" t="n"/>
      <c r="G110" s="221" t="n"/>
      <c r="H110" s="221" t="n"/>
      <c r="I110" s="221" t="n"/>
      <c r="J110" s="221" t="n"/>
      <c r="K110" s="221" t="n"/>
      <c r="L110" s="222" t="n"/>
      <c r="M110" s="222" t="n"/>
      <c r="N110" s="221" t="n"/>
      <c r="O110" s="221" t="n"/>
      <c r="P110" s="222" t="n"/>
      <c r="Q110" s="222" t="n"/>
      <c r="R110" s="162" t="inlineStr">
        <is>
          <t>SPD03014_SPP_5-实际定额工时配置表</t>
        </is>
      </c>
      <c r="S110" s="158" t="inlineStr">
        <is>
          <t>截屏类电子文件【Electronic document】</t>
        </is>
      </c>
      <c r="T110" s="221" t="n"/>
      <c r="U110" s="163" t="inlineStr">
        <is>
          <t>实际定额工时Actual rated hours</t>
        </is>
      </c>
      <c r="V110" s="164" t="inlineStr">
        <is>
          <t>Agrees相符</t>
        </is>
      </c>
      <c r="W110" s="164" t="inlineStr">
        <is>
          <t>Reasonable合理</t>
        </is>
      </c>
      <c r="X110" s="164" t="inlineStr">
        <is>
          <t>Yes是</t>
        </is>
      </c>
      <c r="Y110" s="165" t="n"/>
      <c r="Z110" s="153" t="n"/>
    </row>
    <row r="111" ht="16" customHeight="1">
      <c r="B111" s="221" t="n"/>
      <c r="C111" s="221" t="n"/>
      <c r="D111" s="221" t="n"/>
      <c r="E111" s="221" t="n"/>
      <c r="F111" s="221" t="n"/>
      <c r="G111" s="221" t="n"/>
      <c r="H111" s="221" t="n"/>
      <c r="I111" s="221" t="n"/>
      <c r="J111" s="221" t="n"/>
      <c r="K111" s="221" t="n"/>
      <c r="L111" s="222" t="n"/>
      <c r="M111" s="222" t="n"/>
      <c r="N111" s="221" t="n"/>
      <c r="O111" s="221" t="n"/>
      <c r="P111" s="222" t="n"/>
      <c r="Q111" s="222" t="n"/>
      <c r="R111" s="162" t="inlineStr">
        <is>
          <t>SPD03014_SPP_6-&lt;CO03_成本分析&gt;表</t>
        </is>
      </c>
      <c r="S111" s="158" t="inlineStr">
        <is>
          <t>清单类电子数据【Electronic data】</t>
        </is>
      </c>
      <c r="T111" s="221" t="n"/>
      <c r="U111" s="163" t="inlineStr">
        <is>
          <t>完工数量Completed quantity
实际成本[“总的实际成本”]Actual cost ["total actual cost"]</t>
        </is>
      </c>
      <c r="V111" s="164" t="inlineStr">
        <is>
          <t>Agrees相符</t>
        </is>
      </c>
      <c r="W111" s="164" t="inlineStr">
        <is>
          <t>Reasonable合理</t>
        </is>
      </c>
      <c r="X111" s="164" t="inlineStr">
        <is>
          <t>Yes是</t>
        </is>
      </c>
      <c r="Y111" s="165" t="n"/>
      <c r="Z111" s="153" t="n"/>
    </row>
    <row r="112" ht="16" customHeight="1">
      <c r="B112" s="223" t="n"/>
      <c r="C112" s="223" t="n"/>
      <c r="D112" s="223" t="n"/>
      <c r="E112" s="223" t="n"/>
      <c r="F112" s="223" t="n"/>
      <c r="G112" s="223" t="n"/>
      <c r="H112" s="223" t="n"/>
      <c r="I112" s="223" t="n"/>
      <c r="J112" s="223" t="n"/>
      <c r="K112" s="223" t="n"/>
      <c r="L112" s="224" t="n"/>
      <c r="M112" s="224" t="n"/>
      <c r="N112" s="223" t="n"/>
      <c r="O112" s="223" t="n"/>
      <c r="P112" s="224" t="n"/>
      <c r="Q112" s="224" t="n"/>
      <c r="R112" s="162" t="inlineStr">
        <is>
          <t>SPD03014_SPP_7-工艺路线配置表</t>
        </is>
      </c>
      <c r="S112" s="158" t="inlineStr">
        <is>
          <t>截屏类电子文件【Electronic document】</t>
        </is>
      </c>
      <c r="T112" s="223" t="n"/>
      <c r="U112" s="163" t="inlineStr">
        <is>
          <t>工序编码/名称Process Route ID/Name
工序数量Process Route Quantity</t>
        </is>
      </c>
      <c r="V112" s="164" t="inlineStr">
        <is>
          <t>N/A不适用</t>
        </is>
      </c>
      <c r="W112" s="164" t="inlineStr">
        <is>
          <t>Not selected未选</t>
        </is>
      </c>
      <c r="X112" s="164" t="inlineStr">
        <is>
          <t>N/A不适用</t>
        </is>
      </c>
      <c r="Y112" s="165" t="n"/>
      <c r="Z112" s="153" t="n"/>
    </row>
    <row r="113" outlineLevel="1" ht="16" customHeight="1">
      <c r="B113" s="220" t="inlineStr">
        <is>
          <t>样本4</t>
        </is>
      </c>
      <c r="C113" s="155" t="n">
        <v>12007933</v>
      </c>
      <c r="D113" s="156" t="inlineStr">
        <is>
          <t>1100P00002</t>
        </is>
      </c>
      <c r="E113" s="155" t="n">
        <v>11002963</v>
      </c>
      <c r="F113" s="155" t="inlineStr">
        <is>
          <t>其他</t>
        </is>
      </c>
      <c r="G113" s="157">
        <f>G107</f>
        <v/>
      </c>
      <c r="H113" s="158">
        <f>'CO03'!E235</f>
        <v/>
      </c>
      <c r="I113" s="158">
        <f>'CO03'!F235</f>
        <v/>
      </c>
      <c r="J113" s="158">
        <f>'CO03'!G235</f>
        <v/>
      </c>
      <c r="K113" s="158">
        <f>KSBT!Z174</f>
        <v/>
      </c>
      <c r="L113" s="159">
        <f>I113/N113*G113-H113</f>
        <v/>
      </c>
      <c r="M113" s="160">
        <f>L113-J113</f>
        <v/>
      </c>
      <c r="N113" s="157">
        <f>G113</f>
        <v/>
      </c>
      <c r="O113" s="157" t="inlineStr">
        <is>
          <t>不适用</t>
        </is>
      </c>
      <c r="P113" s="160">
        <f>'3611'!AB264</f>
        <v/>
      </c>
      <c r="Q113" s="161">
        <f>P113-K113</f>
        <v/>
      </c>
      <c r="R113" s="162" t="inlineStr">
        <is>
          <t>SPD03014_SPP_2-制造费用费率配置表</t>
        </is>
      </c>
      <c r="S113" s="158" t="inlineStr">
        <is>
          <t>截屏类电子文件【Electronic document】</t>
        </is>
      </c>
      <c r="T113" s="158">
        <f>N113</f>
        <v/>
      </c>
      <c r="U113" s="163" t="inlineStr">
        <is>
          <t>制造费用费率manufacturing overhead cost rate</t>
        </is>
      </c>
      <c r="V113" s="164" t="inlineStr">
        <is>
          <t>Agrees相符</t>
        </is>
      </c>
      <c r="W113" s="164" t="inlineStr">
        <is>
          <t>Reasonable合理</t>
        </is>
      </c>
      <c r="X113" s="164" t="inlineStr">
        <is>
          <t>Yes是</t>
        </is>
      </c>
      <c r="Y113" s="165" t="n"/>
      <c r="Z113" s="153" t="n"/>
    </row>
    <row r="114" outlineLevel="1" ht="16" customHeight="1">
      <c r="B114" s="221" t="n"/>
      <c r="C114" s="221" t="n"/>
      <c r="D114" s="221" t="n"/>
      <c r="E114" s="221" t="n"/>
      <c r="F114" s="221" t="n"/>
      <c r="G114" s="221" t="n"/>
      <c r="H114" s="221" t="n"/>
      <c r="I114" s="221" t="n"/>
      <c r="J114" s="221" t="n"/>
      <c r="K114" s="221" t="n"/>
      <c r="L114" s="222" t="n"/>
      <c r="M114" s="222" t="n"/>
      <c r="N114" s="221" t="n"/>
      <c r="O114" s="221" t="n"/>
      <c r="P114" s="222" t="n"/>
      <c r="Q114" s="222" t="n"/>
      <c r="R114" s="162" t="inlineStr">
        <is>
          <t>SPD03014_SPP_3-成本中心、成本要素、成本要素组对应关系配置表</t>
        </is>
      </c>
      <c r="S114" s="158" t="inlineStr">
        <is>
          <t>截屏类电子文件【Electronic document】</t>
        </is>
      </c>
      <c r="T114" s="221" t="n"/>
      <c r="U114" s="163" t="inlineStr">
        <is>
          <t>成本中心编码/名称Cost centres ID/Name
成本要素编码/名称cost elements ID/Name
成本要素组编码/名称cost element groups ID/Name</t>
        </is>
      </c>
      <c r="V114" s="164" t="inlineStr">
        <is>
          <t>N/A不适用</t>
        </is>
      </c>
      <c r="W114" s="164" t="inlineStr">
        <is>
          <t>Not selected未选</t>
        </is>
      </c>
      <c r="X114" s="164" t="inlineStr">
        <is>
          <t>N/A不适用</t>
        </is>
      </c>
      <c r="Y114" s="165" t="n"/>
      <c r="Z114" s="153" t="n"/>
    </row>
    <row r="115" ht="16" customHeight="1">
      <c r="B115" s="221" t="n"/>
      <c r="C115" s="221" t="n"/>
      <c r="D115" s="221" t="n"/>
      <c r="E115" s="221" t="n"/>
      <c r="F115" s="221" t="n"/>
      <c r="G115" s="221" t="n"/>
      <c r="H115" s="221" t="n"/>
      <c r="I115" s="221" t="n"/>
      <c r="J115" s="221" t="n"/>
      <c r="K115" s="221" t="n"/>
      <c r="L115" s="222" t="n"/>
      <c r="M115" s="222" t="n"/>
      <c r="N115" s="221" t="n"/>
      <c r="O115" s="221" t="n"/>
      <c r="P115" s="222" t="n"/>
      <c r="Q115" s="222" t="n"/>
      <c r="R115" s="162" t="inlineStr">
        <is>
          <t>SPD03014_SPP_4-辅助生产费用分摊权重数配置表</t>
        </is>
      </c>
      <c r="S115" s="158" t="inlineStr">
        <is>
          <t>截屏类电子文件【Electronic document】</t>
        </is>
      </c>
      <c r="T115" s="221" t="n"/>
      <c r="U115" s="163" t="inlineStr">
        <is>
          <t>辅助生产费用分摊权重数Numbers of weights for the allocation of auxiliary production costs</t>
        </is>
      </c>
      <c r="V115" s="164" t="inlineStr">
        <is>
          <t>N/A不适用</t>
        </is>
      </c>
      <c r="W115" s="164" t="inlineStr">
        <is>
          <t>Not selected未选</t>
        </is>
      </c>
      <c r="X115" s="164" t="inlineStr">
        <is>
          <t>N/A不适用</t>
        </is>
      </c>
      <c r="Y115" s="165" t="n"/>
      <c r="Z115" s="153" t="n"/>
    </row>
    <row r="116" ht="16" customHeight="1">
      <c r="B116" s="221" t="n"/>
      <c r="C116" s="221" t="n"/>
      <c r="D116" s="221" t="n"/>
      <c r="E116" s="221" t="n"/>
      <c r="F116" s="221" t="n"/>
      <c r="G116" s="221" t="n"/>
      <c r="H116" s="221" t="n"/>
      <c r="I116" s="221" t="n"/>
      <c r="J116" s="221" t="n"/>
      <c r="K116" s="221" t="n"/>
      <c r="L116" s="222" t="n"/>
      <c r="M116" s="222" t="n"/>
      <c r="N116" s="221" t="n"/>
      <c r="O116" s="221" t="n"/>
      <c r="P116" s="222" t="n"/>
      <c r="Q116" s="222" t="n"/>
      <c r="R116" s="162" t="inlineStr">
        <is>
          <t>SPD03014_SPP_5-实际定额工时配置表</t>
        </is>
      </c>
      <c r="S116" s="158" t="inlineStr">
        <is>
          <t>截屏类电子文件【Electronic document】</t>
        </is>
      </c>
      <c r="T116" s="221" t="n"/>
      <c r="U116" s="163" t="inlineStr">
        <is>
          <t>实际定额工时Actual rated hours</t>
        </is>
      </c>
      <c r="V116" s="164" t="inlineStr">
        <is>
          <t>Agrees相符</t>
        </is>
      </c>
      <c r="W116" s="164" t="inlineStr">
        <is>
          <t>Reasonable合理</t>
        </is>
      </c>
      <c r="X116" s="164" t="inlineStr">
        <is>
          <t>Yes是</t>
        </is>
      </c>
      <c r="Y116" s="165" t="n"/>
      <c r="Z116" s="153" t="n"/>
    </row>
    <row r="117" ht="16" customHeight="1">
      <c r="B117" s="221" t="n"/>
      <c r="C117" s="221" t="n"/>
      <c r="D117" s="221" t="n"/>
      <c r="E117" s="221" t="n"/>
      <c r="F117" s="221" t="n"/>
      <c r="G117" s="221" t="n"/>
      <c r="H117" s="221" t="n"/>
      <c r="I117" s="221" t="n"/>
      <c r="J117" s="221" t="n"/>
      <c r="K117" s="221" t="n"/>
      <c r="L117" s="222" t="n"/>
      <c r="M117" s="222" t="n"/>
      <c r="N117" s="221" t="n"/>
      <c r="O117" s="221" t="n"/>
      <c r="P117" s="222" t="n"/>
      <c r="Q117" s="222" t="n"/>
      <c r="R117" s="162" t="inlineStr">
        <is>
          <t>SPD03014_SPP_6-&lt;CO03_成本分析&gt;表</t>
        </is>
      </c>
      <c r="S117" s="158" t="inlineStr">
        <is>
          <t>清单类电子数据【Electronic data】</t>
        </is>
      </c>
      <c r="T117" s="221" t="n"/>
      <c r="U117" s="163" t="inlineStr">
        <is>
          <t>完工数量Completed quantity
实际成本[“总的实际成本”]Actual cost ["total actual cost"]</t>
        </is>
      </c>
      <c r="V117" s="164" t="inlineStr">
        <is>
          <t>Agrees相符</t>
        </is>
      </c>
      <c r="W117" s="164" t="inlineStr">
        <is>
          <t>Reasonable合理</t>
        </is>
      </c>
      <c r="X117" s="164" t="inlineStr">
        <is>
          <t>Yes是</t>
        </is>
      </c>
      <c r="Y117" s="165" t="n"/>
      <c r="Z117" s="153" t="n"/>
    </row>
    <row r="118" ht="16" customHeight="1">
      <c r="B118" s="223" t="n"/>
      <c r="C118" s="223" t="n"/>
      <c r="D118" s="223" t="n"/>
      <c r="E118" s="223" t="n"/>
      <c r="F118" s="223" t="n"/>
      <c r="G118" s="223" t="n"/>
      <c r="H118" s="223" t="n"/>
      <c r="I118" s="223" t="n"/>
      <c r="J118" s="223" t="n"/>
      <c r="K118" s="223" t="n"/>
      <c r="L118" s="224" t="n"/>
      <c r="M118" s="224" t="n"/>
      <c r="N118" s="223" t="n"/>
      <c r="O118" s="223" t="n"/>
      <c r="P118" s="224" t="n"/>
      <c r="Q118" s="224" t="n"/>
      <c r="R118" s="162" t="inlineStr">
        <is>
          <t>SPD03014_SPP_7-工艺路线配置表</t>
        </is>
      </c>
      <c r="S118" s="158" t="inlineStr">
        <is>
          <t>截屏类电子文件【Electronic document】</t>
        </is>
      </c>
      <c r="T118" s="223" t="n"/>
      <c r="U118" s="163" t="inlineStr">
        <is>
          <t>工序编码/名称Process Route ID/Name
工序数量Process Route Quantity</t>
        </is>
      </c>
      <c r="V118" s="164" t="inlineStr">
        <is>
          <t>N/A不适用</t>
        </is>
      </c>
      <c r="W118" s="164" t="inlineStr">
        <is>
          <t>Not selected未选</t>
        </is>
      </c>
      <c r="X118" s="164" t="inlineStr">
        <is>
          <t>N/A不适用</t>
        </is>
      </c>
      <c r="Y118" s="165" t="n"/>
      <c r="Z118" s="153" t="n"/>
    </row>
    <row r="119" outlineLevel="1" ht="16" customHeight="1">
      <c r="B119" s="220" t="inlineStr">
        <is>
          <t>样本5</t>
        </is>
      </c>
      <c r="C119" s="155">
        <f>'SPD03012-IRM(SAP)'!C111</f>
        <v/>
      </c>
      <c r="D119" s="156">
        <f>'SPD03012-IRM(SAP)'!D111</f>
        <v/>
      </c>
      <c r="E119" s="155">
        <f>'SPD03012-IRM(SAP)'!E111</f>
        <v/>
      </c>
      <c r="F119" s="155" t="inlineStr">
        <is>
          <t>间接人工</t>
        </is>
      </c>
      <c r="G119" s="158">
        <f>'CO03'!H290</f>
        <v/>
      </c>
      <c r="H119" s="158">
        <f>'CO03'!E291</f>
        <v/>
      </c>
      <c r="I119" s="158">
        <f>'CO03'!F291</f>
        <v/>
      </c>
      <c r="J119" s="158">
        <f>'CO03'!G291</f>
        <v/>
      </c>
      <c r="K119" s="158">
        <f>KSBT!Z219</f>
        <v/>
      </c>
      <c r="L119" s="159">
        <f>I119/N119*G119-H119</f>
        <v/>
      </c>
      <c r="M119" s="160">
        <f>L119-J119</f>
        <v/>
      </c>
      <c r="N119" s="157">
        <f>G119</f>
        <v/>
      </c>
      <c r="O119" s="157" t="inlineStr">
        <is>
          <t>不适用</t>
        </is>
      </c>
      <c r="P119" s="160">
        <f>'3611'!AB361</f>
        <v/>
      </c>
      <c r="Q119" s="161">
        <f>P119-K119</f>
        <v/>
      </c>
      <c r="R119" s="162" t="inlineStr">
        <is>
          <t>SPD03014_SPP_2-制造费用费率配置表</t>
        </is>
      </c>
      <c r="S119" s="158" t="inlineStr">
        <is>
          <t>截屏类电子文件【Electronic document】</t>
        </is>
      </c>
      <c r="T119" s="158">
        <f>N119</f>
        <v/>
      </c>
      <c r="U119" s="163" t="inlineStr">
        <is>
          <t>制造费用费率manufacturing overhead cost rate</t>
        </is>
      </c>
      <c r="V119" s="164" t="inlineStr">
        <is>
          <t>Agrees相符</t>
        </is>
      </c>
      <c r="W119" s="164" t="inlineStr">
        <is>
          <t>Reasonable合理</t>
        </is>
      </c>
      <c r="X119" s="164" t="inlineStr">
        <is>
          <t>Yes是</t>
        </is>
      </c>
      <c r="Y119" s="165" t="n"/>
      <c r="Z119" s="153" t="n"/>
    </row>
    <row r="120" outlineLevel="1" ht="16" customHeight="1">
      <c r="B120" s="221" t="n"/>
      <c r="C120" s="221" t="n"/>
      <c r="D120" s="221" t="n"/>
      <c r="E120" s="221" t="n"/>
      <c r="F120" s="221" t="n"/>
      <c r="G120" s="221" t="n"/>
      <c r="H120" s="221" t="n"/>
      <c r="I120" s="221" t="n"/>
      <c r="J120" s="221" t="n"/>
      <c r="K120" s="221" t="n"/>
      <c r="L120" s="222" t="n"/>
      <c r="M120" s="222" t="n"/>
      <c r="N120" s="221" t="n"/>
      <c r="O120" s="221" t="n"/>
      <c r="P120" s="222" t="n"/>
      <c r="Q120" s="222" t="n"/>
      <c r="R120" s="162" t="inlineStr">
        <is>
          <t>SPD03014_SPP_3-成本中心、成本要素、成本要素组对应关系配置表</t>
        </is>
      </c>
      <c r="S120" s="158" t="inlineStr">
        <is>
          <t>截屏类电子文件【Electronic document】</t>
        </is>
      </c>
      <c r="T120" s="221" t="n"/>
      <c r="U120" s="163" t="inlineStr">
        <is>
          <t>成本中心编码/名称Cost centres ID/Name
成本要素编码/名称cost elements ID/Name
成本要素组编码/名称cost element groups ID/Name</t>
        </is>
      </c>
      <c r="V120" s="164" t="inlineStr">
        <is>
          <t>N/A不适用</t>
        </is>
      </c>
      <c r="W120" s="164" t="inlineStr">
        <is>
          <t>Not selected未选</t>
        </is>
      </c>
      <c r="X120" s="164" t="inlineStr">
        <is>
          <t>N/A不适用</t>
        </is>
      </c>
      <c r="Y120" s="165" t="n"/>
      <c r="Z120" s="153" t="n"/>
    </row>
    <row r="121" ht="16" customHeight="1">
      <c r="B121" s="221" t="n"/>
      <c r="C121" s="221" t="n"/>
      <c r="D121" s="221" t="n"/>
      <c r="E121" s="221" t="n"/>
      <c r="F121" s="221" t="n"/>
      <c r="G121" s="221" t="n"/>
      <c r="H121" s="221" t="n"/>
      <c r="I121" s="221" t="n"/>
      <c r="J121" s="221" t="n"/>
      <c r="K121" s="221" t="n"/>
      <c r="L121" s="222" t="n"/>
      <c r="M121" s="222" t="n"/>
      <c r="N121" s="221" t="n"/>
      <c r="O121" s="221" t="n"/>
      <c r="P121" s="222" t="n"/>
      <c r="Q121" s="222" t="n"/>
      <c r="R121" s="162" t="inlineStr">
        <is>
          <t>SPD03014_SPP_4-辅助生产费用分摊权重数配置表</t>
        </is>
      </c>
      <c r="S121" s="158" t="inlineStr">
        <is>
          <t>截屏类电子文件【Electronic document】</t>
        </is>
      </c>
      <c r="T121" s="221" t="n"/>
      <c r="U121" s="163" t="inlineStr">
        <is>
          <t>辅助生产费用分摊权重数Numbers of weights for the allocation of auxiliary production costs</t>
        </is>
      </c>
      <c r="V121" s="164" t="inlineStr">
        <is>
          <t>N/A不适用</t>
        </is>
      </c>
      <c r="W121" s="164" t="inlineStr">
        <is>
          <t>Not selected未选</t>
        </is>
      </c>
      <c r="X121" s="164" t="inlineStr">
        <is>
          <t>N/A不适用</t>
        </is>
      </c>
      <c r="Y121" s="165" t="n"/>
      <c r="Z121" s="153" t="n"/>
    </row>
    <row r="122" ht="16" customHeight="1">
      <c r="B122" s="221" t="n"/>
      <c r="C122" s="221" t="n"/>
      <c r="D122" s="221" t="n"/>
      <c r="E122" s="221" t="n"/>
      <c r="F122" s="221" t="n"/>
      <c r="G122" s="221" t="n"/>
      <c r="H122" s="221" t="n"/>
      <c r="I122" s="221" t="n"/>
      <c r="J122" s="221" t="n"/>
      <c r="K122" s="221" t="n"/>
      <c r="L122" s="222" t="n"/>
      <c r="M122" s="222" t="n"/>
      <c r="N122" s="221" t="n"/>
      <c r="O122" s="221" t="n"/>
      <c r="P122" s="222" t="n"/>
      <c r="Q122" s="222" t="n"/>
      <c r="R122" s="162" t="inlineStr">
        <is>
          <t>SPD03014_SPP_5-实际定额工时配置表</t>
        </is>
      </c>
      <c r="S122" s="158" t="inlineStr">
        <is>
          <t>截屏类电子文件【Electronic document】</t>
        </is>
      </c>
      <c r="T122" s="221" t="n"/>
      <c r="U122" s="163" t="inlineStr">
        <is>
          <t>实际定额工时Actual rated hours</t>
        </is>
      </c>
      <c r="V122" s="164" t="inlineStr">
        <is>
          <t>Agrees相符</t>
        </is>
      </c>
      <c r="W122" s="164" t="inlineStr">
        <is>
          <t>Reasonable合理</t>
        </is>
      </c>
      <c r="X122" s="164" t="inlineStr">
        <is>
          <t>Yes是</t>
        </is>
      </c>
      <c r="Y122" s="165" t="n"/>
      <c r="Z122" s="153" t="n"/>
    </row>
    <row r="123" ht="16" customHeight="1">
      <c r="B123" s="221" t="n"/>
      <c r="C123" s="221" t="n"/>
      <c r="D123" s="221" t="n"/>
      <c r="E123" s="221" t="n"/>
      <c r="F123" s="221" t="n"/>
      <c r="G123" s="221" t="n"/>
      <c r="H123" s="221" t="n"/>
      <c r="I123" s="221" t="n"/>
      <c r="J123" s="221" t="n"/>
      <c r="K123" s="221" t="n"/>
      <c r="L123" s="222" t="n"/>
      <c r="M123" s="222" t="n"/>
      <c r="N123" s="221" t="n"/>
      <c r="O123" s="221" t="n"/>
      <c r="P123" s="222" t="n"/>
      <c r="Q123" s="222" t="n"/>
      <c r="R123" s="162" t="inlineStr">
        <is>
          <t>SPD03014_SPP_6-&lt;CO03_成本分析&gt;表</t>
        </is>
      </c>
      <c r="S123" s="158" t="inlineStr">
        <is>
          <t>清单类电子数据【Electronic data】</t>
        </is>
      </c>
      <c r="T123" s="221" t="n"/>
      <c r="U123" s="163" t="inlineStr">
        <is>
          <t>完工数量Completed quantity
实际成本[“总的实际成本”]Actual cost ["total actual cost"]</t>
        </is>
      </c>
      <c r="V123" s="164" t="inlineStr">
        <is>
          <t>Agrees相符</t>
        </is>
      </c>
      <c r="W123" s="164" t="inlineStr">
        <is>
          <t>Reasonable合理</t>
        </is>
      </c>
      <c r="X123" s="164" t="inlineStr">
        <is>
          <t>Yes是</t>
        </is>
      </c>
      <c r="Y123" s="165" t="n"/>
      <c r="Z123" s="153" t="n"/>
    </row>
    <row r="124" ht="16" customHeight="1">
      <c r="B124" s="223" t="n"/>
      <c r="C124" s="223" t="n"/>
      <c r="D124" s="223" t="n"/>
      <c r="E124" s="223" t="n"/>
      <c r="F124" s="223" t="n"/>
      <c r="G124" s="223" t="n"/>
      <c r="H124" s="223" t="n"/>
      <c r="I124" s="223" t="n"/>
      <c r="J124" s="223" t="n"/>
      <c r="K124" s="223" t="n"/>
      <c r="L124" s="224" t="n"/>
      <c r="M124" s="224" t="n"/>
      <c r="N124" s="223" t="n"/>
      <c r="O124" s="223" t="n"/>
      <c r="P124" s="224" t="n"/>
      <c r="Q124" s="224" t="n"/>
      <c r="R124" s="162" t="inlineStr">
        <is>
          <t>SPD03014_SPP_7-工艺路线配置表</t>
        </is>
      </c>
      <c r="S124" s="158" t="inlineStr">
        <is>
          <t>截屏类电子文件【Electronic document】</t>
        </is>
      </c>
      <c r="T124" s="223" t="n"/>
      <c r="U124" s="163" t="inlineStr">
        <is>
          <t>工序编码/名称Process Route ID/Name
工序数量Process Route Quantity</t>
        </is>
      </c>
      <c r="V124" s="164" t="inlineStr">
        <is>
          <t>N/A不适用</t>
        </is>
      </c>
      <c r="W124" s="164" t="inlineStr">
        <is>
          <t>Not selected未选</t>
        </is>
      </c>
      <c r="X124" s="164" t="inlineStr">
        <is>
          <t>N/A不适用</t>
        </is>
      </c>
      <c r="Y124" s="165" t="n"/>
      <c r="Z124" s="153" t="n"/>
    </row>
    <row r="125" outlineLevel="1" ht="16" customHeight="1">
      <c r="B125" s="220" t="inlineStr">
        <is>
          <t>样本5</t>
        </is>
      </c>
      <c r="C125" s="155" t="n">
        <v>11000236</v>
      </c>
      <c r="D125" s="156" t="inlineStr">
        <is>
          <t>1100P00001</t>
        </is>
      </c>
      <c r="E125" s="155" t="n">
        <v>11004120</v>
      </c>
      <c r="F125" s="155" t="inlineStr">
        <is>
          <t>能耗</t>
        </is>
      </c>
      <c r="G125" s="158">
        <f>G119</f>
        <v/>
      </c>
      <c r="H125" s="158">
        <f>'CO03'!E293</f>
        <v/>
      </c>
      <c r="I125" s="158">
        <f>'CO03'!F293</f>
        <v/>
      </c>
      <c r="J125" s="158">
        <f>'CO03'!G293</f>
        <v/>
      </c>
      <c r="K125" s="158">
        <f>KSBT!Z221</f>
        <v/>
      </c>
      <c r="L125" s="159">
        <f>I125/N125*G125-H125</f>
        <v/>
      </c>
      <c r="M125" s="160">
        <f>L125-J125</f>
        <v/>
      </c>
      <c r="N125" s="157">
        <f>G125</f>
        <v/>
      </c>
      <c r="O125" s="157" t="inlineStr">
        <is>
          <t>不适用</t>
        </is>
      </c>
      <c r="P125" s="160">
        <f>'3611'!AB363</f>
        <v/>
      </c>
      <c r="Q125" s="161">
        <f>P125-K125</f>
        <v/>
      </c>
      <c r="R125" s="162" t="inlineStr">
        <is>
          <t>SPD03014_SPP_2-制造费用费率配置表</t>
        </is>
      </c>
      <c r="S125" s="158" t="inlineStr">
        <is>
          <t>截屏类电子文件【Electronic document】</t>
        </is>
      </c>
      <c r="T125" s="158">
        <f>N125</f>
        <v/>
      </c>
      <c r="U125" s="163" t="inlineStr">
        <is>
          <t>制造费用费率manufacturing overhead cost rate</t>
        </is>
      </c>
      <c r="V125" s="164" t="inlineStr">
        <is>
          <t>Agrees相符</t>
        </is>
      </c>
      <c r="W125" s="164" t="inlineStr">
        <is>
          <t>Reasonable合理</t>
        </is>
      </c>
      <c r="X125" s="164" t="inlineStr">
        <is>
          <t>Yes是</t>
        </is>
      </c>
      <c r="Y125" s="165" t="n"/>
      <c r="Z125" s="153" t="n"/>
    </row>
    <row r="126" outlineLevel="1" ht="16" customHeight="1">
      <c r="B126" s="221" t="n"/>
      <c r="C126" s="221" t="n"/>
      <c r="D126" s="221" t="n"/>
      <c r="E126" s="221" t="n"/>
      <c r="F126" s="221" t="n"/>
      <c r="G126" s="221" t="n"/>
      <c r="H126" s="221" t="n"/>
      <c r="I126" s="221" t="n"/>
      <c r="J126" s="221" t="n"/>
      <c r="K126" s="221" t="n"/>
      <c r="L126" s="222" t="n"/>
      <c r="M126" s="222" t="n"/>
      <c r="N126" s="221" t="n"/>
      <c r="O126" s="221" t="n"/>
      <c r="P126" s="222" t="n"/>
      <c r="Q126" s="222" t="n"/>
      <c r="R126" s="162" t="inlineStr">
        <is>
          <t>SPD03014_SPP_3-成本中心、成本要素、成本要素组对应关系配置表</t>
        </is>
      </c>
      <c r="S126" s="158" t="inlineStr">
        <is>
          <t>截屏类电子文件【Electronic document】</t>
        </is>
      </c>
      <c r="T126" s="221" t="n"/>
      <c r="U126" s="163" t="inlineStr">
        <is>
          <t>成本中心编码/名称Cost centres ID/Name
成本要素编码/名称cost elements ID/Name
成本要素组编码/名称cost element groups ID/Name</t>
        </is>
      </c>
      <c r="V126" s="164" t="inlineStr">
        <is>
          <t>N/A不适用</t>
        </is>
      </c>
      <c r="W126" s="164" t="inlineStr">
        <is>
          <t>Not selected未选</t>
        </is>
      </c>
      <c r="X126" s="164" t="inlineStr">
        <is>
          <t>N/A不适用</t>
        </is>
      </c>
      <c r="Y126" s="165" t="n"/>
      <c r="Z126" s="153" t="n"/>
    </row>
    <row r="127" ht="16" customHeight="1">
      <c r="B127" s="221" t="n"/>
      <c r="C127" s="221" t="n"/>
      <c r="D127" s="221" t="n"/>
      <c r="E127" s="221" t="n"/>
      <c r="F127" s="221" t="n"/>
      <c r="G127" s="221" t="n"/>
      <c r="H127" s="221" t="n"/>
      <c r="I127" s="221" t="n"/>
      <c r="J127" s="221" t="n"/>
      <c r="K127" s="221" t="n"/>
      <c r="L127" s="222" t="n"/>
      <c r="M127" s="222" t="n"/>
      <c r="N127" s="221" t="n"/>
      <c r="O127" s="221" t="n"/>
      <c r="P127" s="222" t="n"/>
      <c r="Q127" s="222" t="n"/>
      <c r="R127" s="162" t="inlineStr">
        <is>
          <t>SPD03014_SPP_4-辅助生产费用分摊权重数配置表</t>
        </is>
      </c>
      <c r="S127" s="158" t="inlineStr">
        <is>
          <t>截屏类电子文件【Electronic document】</t>
        </is>
      </c>
      <c r="T127" s="221" t="n"/>
      <c r="U127" s="163" t="inlineStr">
        <is>
          <t>辅助生产费用分摊权重数Numbers of weights for the allocation of auxiliary production costs</t>
        </is>
      </c>
      <c r="V127" s="164" t="inlineStr">
        <is>
          <t>N/A不适用</t>
        </is>
      </c>
      <c r="W127" s="164" t="inlineStr">
        <is>
          <t>Not selected未选</t>
        </is>
      </c>
      <c r="X127" s="164" t="inlineStr">
        <is>
          <t>N/A不适用</t>
        </is>
      </c>
      <c r="Y127" s="165" t="n"/>
      <c r="Z127" s="153" t="n"/>
    </row>
    <row r="128" ht="16" customHeight="1">
      <c r="B128" s="221" t="n"/>
      <c r="C128" s="221" t="n"/>
      <c r="D128" s="221" t="n"/>
      <c r="E128" s="221" t="n"/>
      <c r="F128" s="221" t="n"/>
      <c r="G128" s="221" t="n"/>
      <c r="H128" s="221" t="n"/>
      <c r="I128" s="221" t="n"/>
      <c r="J128" s="221" t="n"/>
      <c r="K128" s="221" t="n"/>
      <c r="L128" s="222" t="n"/>
      <c r="M128" s="222" t="n"/>
      <c r="N128" s="221" t="n"/>
      <c r="O128" s="221" t="n"/>
      <c r="P128" s="222" t="n"/>
      <c r="Q128" s="222" t="n"/>
      <c r="R128" s="162" t="inlineStr">
        <is>
          <t>SPD03014_SPP_5-实际定额工时配置表</t>
        </is>
      </c>
      <c r="S128" s="158" t="inlineStr">
        <is>
          <t>截屏类电子文件【Electronic document】</t>
        </is>
      </c>
      <c r="T128" s="221" t="n"/>
      <c r="U128" s="163" t="inlineStr">
        <is>
          <t>实际定额工时Actual rated hours</t>
        </is>
      </c>
      <c r="V128" s="164" t="inlineStr">
        <is>
          <t>Agrees相符</t>
        </is>
      </c>
      <c r="W128" s="164" t="inlineStr">
        <is>
          <t>Reasonable合理</t>
        </is>
      </c>
      <c r="X128" s="164" t="inlineStr">
        <is>
          <t>Yes是</t>
        </is>
      </c>
      <c r="Y128" s="165" t="n"/>
      <c r="Z128" s="153" t="n"/>
    </row>
    <row r="129" ht="16" customHeight="1">
      <c r="B129" s="221" t="n"/>
      <c r="C129" s="221" t="n"/>
      <c r="D129" s="221" t="n"/>
      <c r="E129" s="221" t="n"/>
      <c r="F129" s="221" t="n"/>
      <c r="G129" s="221" t="n"/>
      <c r="H129" s="221" t="n"/>
      <c r="I129" s="221" t="n"/>
      <c r="J129" s="221" t="n"/>
      <c r="K129" s="221" t="n"/>
      <c r="L129" s="222" t="n"/>
      <c r="M129" s="222" t="n"/>
      <c r="N129" s="221" t="n"/>
      <c r="O129" s="221" t="n"/>
      <c r="P129" s="222" t="n"/>
      <c r="Q129" s="222" t="n"/>
      <c r="R129" s="162" t="inlineStr">
        <is>
          <t>SPD03014_SPP_6-&lt;CO03_成本分析&gt;表</t>
        </is>
      </c>
      <c r="S129" s="158" t="inlineStr">
        <is>
          <t>清单类电子数据【Electronic data】</t>
        </is>
      </c>
      <c r="T129" s="221" t="n"/>
      <c r="U129" s="163" t="inlineStr">
        <is>
          <t>完工数量Completed quantity
实际成本[“总的实际成本”]Actual cost ["total actual cost"]</t>
        </is>
      </c>
      <c r="V129" s="164" t="inlineStr">
        <is>
          <t>Agrees相符</t>
        </is>
      </c>
      <c r="W129" s="164" t="inlineStr">
        <is>
          <t>Reasonable合理</t>
        </is>
      </c>
      <c r="X129" s="164" t="inlineStr">
        <is>
          <t>Yes是</t>
        </is>
      </c>
      <c r="Y129" s="165" t="n"/>
      <c r="Z129" s="153" t="n"/>
    </row>
    <row r="130" ht="16" customHeight="1">
      <c r="B130" s="223" t="n"/>
      <c r="C130" s="223" t="n"/>
      <c r="D130" s="223" t="n"/>
      <c r="E130" s="223" t="n"/>
      <c r="F130" s="223" t="n"/>
      <c r="G130" s="223" t="n"/>
      <c r="H130" s="223" t="n"/>
      <c r="I130" s="223" t="n"/>
      <c r="J130" s="223" t="n"/>
      <c r="K130" s="223" t="n"/>
      <c r="L130" s="224" t="n"/>
      <c r="M130" s="224" t="n"/>
      <c r="N130" s="223" t="n"/>
      <c r="O130" s="223" t="n"/>
      <c r="P130" s="224" t="n"/>
      <c r="Q130" s="224" t="n"/>
      <c r="R130" s="162" t="inlineStr">
        <is>
          <t>SPD03014_SPP_7-工艺路线配置表</t>
        </is>
      </c>
      <c r="S130" s="158" t="inlineStr">
        <is>
          <t>截屏类电子文件【Electronic document】</t>
        </is>
      </c>
      <c r="T130" s="223" t="n"/>
      <c r="U130" s="163" t="inlineStr">
        <is>
          <t>工序编码/名称Process Route ID/Name
工序数量Process Route Quantity</t>
        </is>
      </c>
      <c r="V130" s="164" t="inlineStr">
        <is>
          <t>N/A不适用</t>
        </is>
      </c>
      <c r="W130" s="164" t="inlineStr">
        <is>
          <t>Not selected未选</t>
        </is>
      </c>
      <c r="X130" s="164" t="inlineStr">
        <is>
          <t>N/A不适用</t>
        </is>
      </c>
      <c r="Y130" s="165" t="n"/>
      <c r="Z130" s="153" t="n"/>
    </row>
    <row r="131" outlineLevel="1" ht="16" customHeight="1">
      <c r="B131" s="220" t="inlineStr">
        <is>
          <t>样本5</t>
        </is>
      </c>
      <c r="C131" s="155" t="n">
        <v>11000236</v>
      </c>
      <c r="D131" s="156" t="inlineStr">
        <is>
          <t>1100P00001</t>
        </is>
      </c>
      <c r="E131" s="155" t="n">
        <v>11004120</v>
      </c>
      <c r="F131" s="155" t="inlineStr">
        <is>
          <t>低值易耗</t>
        </is>
      </c>
      <c r="G131" s="158">
        <f>G125</f>
        <v/>
      </c>
      <c r="H131" s="158">
        <f>'CO03'!E294</f>
        <v/>
      </c>
      <c r="I131" s="158">
        <f>'CO03'!F294</f>
        <v/>
      </c>
      <c r="J131" s="158">
        <f>'CO03'!G294</f>
        <v/>
      </c>
      <c r="K131" s="158">
        <f>KSBT!Z222</f>
        <v/>
      </c>
      <c r="L131" s="159">
        <f>I131/N131*G131-H131</f>
        <v/>
      </c>
      <c r="M131" s="160">
        <f>L131-J131</f>
        <v/>
      </c>
      <c r="N131" s="157">
        <f>G131</f>
        <v/>
      </c>
      <c r="O131" s="157" t="inlineStr">
        <is>
          <t>不适用</t>
        </is>
      </c>
      <c r="P131" s="160">
        <f>'3611'!AB364</f>
        <v/>
      </c>
      <c r="Q131" s="161">
        <f>P131-K131</f>
        <v/>
      </c>
      <c r="R131" s="162" t="inlineStr">
        <is>
          <t>SPD03014_SPP_2-制造费用费率配置表</t>
        </is>
      </c>
      <c r="S131" s="158" t="inlineStr">
        <is>
          <t>截屏类电子文件【Electronic document】</t>
        </is>
      </c>
      <c r="T131" s="158">
        <f>N131</f>
        <v/>
      </c>
      <c r="U131" s="163" t="inlineStr">
        <is>
          <t>制造费用费率manufacturing overhead cost rate</t>
        </is>
      </c>
      <c r="V131" s="164" t="inlineStr">
        <is>
          <t>Agrees相符</t>
        </is>
      </c>
      <c r="W131" s="164" t="inlineStr">
        <is>
          <t>Reasonable合理</t>
        </is>
      </c>
      <c r="X131" s="164" t="inlineStr">
        <is>
          <t>Yes是</t>
        </is>
      </c>
      <c r="Y131" s="165" t="n"/>
      <c r="Z131" s="153" t="n"/>
    </row>
    <row r="132" outlineLevel="1" ht="16" customHeight="1">
      <c r="B132" s="221" t="n"/>
      <c r="C132" s="221" t="n"/>
      <c r="D132" s="221" t="n"/>
      <c r="E132" s="221" t="n"/>
      <c r="F132" s="221" t="n"/>
      <c r="G132" s="221" t="n"/>
      <c r="H132" s="221" t="n"/>
      <c r="I132" s="221" t="n"/>
      <c r="J132" s="221" t="n"/>
      <c r="K132" s="221" t="n"/>
      <c r="L132" s="222" t="n"/>
      <c r="M132" s="222" t="n"/>
      <c r="N132" s="221" t="n"/>
      <c r="O132" s="221" t="n"/>
      <c r="P132" s="222" t="n"/>
      <c r="Q132" s="222" t="n"/>
      <c r="R132" s="162" t="inlineStr">
        <is>
          <t>SPD03014_SPP_3-成本中心、成本要素、成本要素组对应关系配置表</t>
        </is>
      </c>
      <c r="S132" s="158" t="inlineStr">
        <is>
          <t>截屏类电子文件【Electronic document】</t>
        </is>
      </c>
      <c r="T132" s="221" t="n"/>
      <c r="U132" s="163" t="inlineStr">
        <is>
          <t>成本中心编码/名称Cost centres ID/Name
成本要素编码/名称cost elements ID/Name
成本要素组编码/名称cost element groups ID/Name</t>
        </is>
      </c>
      <c r="V132" s="164" t="inlineStr">
        <is>
          <t>N/A不适用</t>
        </is>
      </c>
      <c r="W132" s="164" t="inlineStr">
        <is>
          <t>Not selected未选</t>
        </is>
      </c>
      <c r="X132" s="164" t="inlineStr">
        <is>
          <t>N/A不适用</t>
        </is>
      </c>
      <c r="Y132" s="165" t="n"/>
      <c r="Z132" s="153" t="n"/>
    </row>
    <row r="133" ht="16" customHeight="1">
      <c r="B133" s="221" t="n"/>
      <c r="C133" s="221" t="n"/>
      <c r="D133" s="221" t="n"/>
      <c r="E133" s="221" t="n"/>
      <c r="F133" s="221" t="n"/>
      <c r="G133" s="221" t="n"/>
      <c r="H133" s="221" t="n"/>
      <c r="I133" s="221" t="n"/>
      <c r="J133" s="221" t="n"/>
      <c r="K133" s="221" t="n"/>
      <c r="L133" s="222" t="n"/>
      <c r="M133" s="222" t="n"/>
      <c r="N133" s="221" t="n"/>
      <c r="O133" s="221" t="n"/>
      <c r="P133" s="222" t="n"/>
      <c r="Q133" s="222" t="n"/>
      <c r="R133" s="162" t="inlineStr">
        <is>
          <t>SPD03014_SPP_4-辅助生产费用分摊权重数配置表</t>
        </is>
      </c>
      <c r="S133" s="158" t="inlineStr">
        <is>
          <t>截屏类电子文件【Electronic document】</t>
        </is>
      </c>
      <c r="T133" s="221" t="n"/>
      <c r="U133" s="163" t="inlineStr">
        <is>
          <t>辅助生产费用分摊权重数Numbers of weights for the allocation of auxiliary production costs</t>
        </is>
      </c>
      <c r="V133" s="164" t="inlineStr">
        <is>
          <t>N/A不适用</t>
        </is>
      </c>
      <c r="W133" s="164" t="inlineStr">
        <is>
          <t>Not selected未选</t>
        </is>
      </c>
      <c r="X133" s="164" t="inlineStr">
        <is>
          <t>N/A不适用</t>
        </is>
      </c>
      <c r="Y133" s="165" t="n"/>
      <c r="Z133" s="153" t="n"/>
    </row>
    <row r="134" ht="16" customHeight="1">
      <c r="B134" s="221" t="n"/>
      <c r="C134" s="221" t="n"/>
      <c r="D134" s="221" t="n"/>
      <c r="E134" s="221" t="n"/>
      <c r="F134" s="221" t="n"/>
      <c r="G134" s="221" t="n"/>
      <c r="H134" s="221" t="n"/>
      <c r="I134" s="221" t="n"/>
      <c r="J134" s="221" t="n"/>
      <c r="K134" s="221" t="n"/>
      <c r="L134" s="222" t="n"/>
      <c r="M134" s="222" t="n"/>
      <c r="N134" s="221" t="n"/>
      <c r="O134" s="221" t="n"/>
      <c r="P134" s="222" t="n"/>
      <c r="Q134" s="222" t="n"/>
      <c r="R134" s="162" t="inlineStr">
        <is>
          <t>SPD03014_SPP_5-实际定额工时配置表</t>
        </is>
      </c>
      <c r="S134" s="158" t="inlineStr">
        <is>
          <t>截屏类电子文件【Electronic document】</t>
        </is>
      </c>
      <c r="T134" s="221" t="n"/>
      <c r="U134" s="163" t="inlineStr">
        <is>
          <t>实际定额工时Actual rated hours</t>
        </is>
      </c>
      <c r="V134" s="164" t="inlineStr">
        <is>
          <t>Agrees相符</t>
        </is>
      </c>
      <c r="W134" s="164" t="inlineStr">
        <is>
          <t>Reasonable合理</t>
        </is>
      </c>
      <c r="X134" s="164" t="inlineStr">
        <is>
          <t>Yes是</t>
        </is>
      </c>
      <c r="Y134" s="165" t="n"/>
      <c r="Z134" s="153" t="n"/>
    </row>
    <row r="135" ht="16" customHeight="1">
      <c r="B135" s="221" t="n"/>
      <c r="C135" s="221" t="n"/>
      <c r="D135" s="221" t="n"/>
      <c r="E135" s="221" t="n"/>
      <c r="F135" s="221" t="n"/>
      <c r="G135" s="221" t="n"/>
      <c r="H135" s="221" t="n"/>
      <c r="I135" s="221" t="n"/>
      <c r="J135" s="221" t="n"/>
      <c r="K135" s="221" t="n"/>
      <c r="L135" s="222" t="n"/>
      <c r="M135" s="222" t="n"/>
      <c r="N135" s="221" t="n"/>
      <c r="O135" s="221" t="n"/>
      <c r="P135" s="222" t="n"/>
      <c r="Q135" s="222" t="n"/>
      <c r="R135" s="162" t="inlineStr">
        <is>
          <t>SPD03014_SPP_6-&lt;CO03_成本分析&gt;表</t>
        </is>
      </c>
      <c r="S135" s="158" t="inlineStr">
        <is>
          <t>清单类电子数据【Electronic data】</t>
        </is>
      </c>
      <c r="T135" s="221" t="n"/>
      <c r="U135" s="163" t="inlineStr">
        <is>
          <t>完工数量Completed quantity
实际成本[“总的实际成本”]Actual cost ["total actual cost"]</t>
        </is>
      </c>
      <c r="V135" s="164" t="inlineStr">
        <is>
          <t>Agrees相符</t>
        </is>
      </c>
      <c r="W135" s="164" t="inlineStr">
        <is>
          <t>Reasonable合理</t>
        </is>
      </c>
      <c r="X135" s="164" t="inlineStr">
        <is>
          <t>Yes是</t>
        </is>
      </c>
      <c r="Y135" s="165" t="n"/>
      <c r="Z135" s="153" t="n"/>
    </row>
    <row r="136" ht="16" customHeight="1">
      <c r="B136" s="223" t="n"/>
      <c r="C136" s="223" t="n"/>
      <c r="D136" s="223" t="n"/>
      <c r="E136" s="223" t="n"/>
      <c r="F136" s="223" t="n"/>
      <c r="G136" s="223" t="n"/>
      <c r="H136" s="223" t="n"/>
      <c r="I136" s="223" t="n"/>
      <c r="J136" s="223" t="n"/>
      <c r="K136" s="223" t="n"/>
      <c r="L136" s="224" t="n"/>
      <c r="M136" s="224" t="n"/>
      <c r="N136" s="223" t="n"/>
      <c r="O136" s="223" t="n"/>
      <c r="P136" s="224" t="n"/>
      <c r="Q136" s="224" t="n"/>
      <c r="R136" s="162" t="inlineStr">
        <is>
          <t>SPD03014_SPP_7-工艺路线配置表</t>
        </is>
      </c>
      <c r="S136" s="158" t="inlineStr">
        <is>
          <t>截屏类电子文件【Electronic document】</t>
        </is>
      </c>
      <c r="T136" s="223" t="n"/>
      <c r="U136" s="163" t="inlineStr">
        <is>
          <t>工序编码/名称Process Route ID/Name
工序数量Process Route Quantity</t>
        </is>
      </c>
      <c r="V136" s="164" t="inlineStr">
        <is>
          <t>N/A不适用</t>
        </is>
      </c>
      <c r="W136" s="164" t="inlineStr">
        <is>
          <t>Not selected未选</t>
        </is>
      </c>
      <c r="X136" s="164" t="inlineStr">
        <is>
          <t>N/A不适用</t>
        </is>
      </c>
      <c r="Y136" s="165" t="n"/>
      <c r="Z136" s="153" t="n"/>
    </row>
    <row r="137" outlineLevel="1" ht="16" customHeight="1">
      <c r="B137" s="220" t="inlineStr">
        <is>
          <t>样本5</t>
        </is>
      </c>
      <c r="C137" s="155" t="n">
        <v>11000236</v>
      </c>
      <c r="D137" s="156" t="inlineStr">
        <is>
          <t>1100P00001</t>
        </is>
      </c>
      <c r="E137" s="155" t="n">
        <v>11004120</v>
      </c>
      <c r="F137" s="155" t="inlineStr">
        <is>
          <t>其他</t>
        </is>
      </c>
      <c r="G137" s="158">
        <f>G131</f>
        <v/>
      </c>
      <c r="H137" s="158">
        <f>'CO03'!E295</f>
        <v/>
      </c>
      <c r="I137" s="158">
        <f>'CO03'!F295</f>
        <v/>
      </c>
      <c r="J137" s="158">
        <f>'CO03'!G295</f>
        <v/>
      </c>
      <c r="K137" s="158">
        <f>KSBT!Z223</f>
        <v/>
      </c>
      <c r="L137" s="159">
        <f>I137/N137*G137-H137</f>
        <v/>
      </c>
      <c r="M137" s="160">
        <f>L137-J137</f>
        <v/>
      </c>
      <c r="N137" s="157">
        <f>G137</f>
        <v/>
      </c>
      <c r="O137" s="157" t="inlineStr">
        <is>
          <t>不适用</t>
        </is>
      </c>
      <c r="P137" s="160">
        <f>'3611'!AB365</f>
        <v/>
      </c>
      <c r="Q137" s="161">
        <f>P137-K137</f>
        <v/>
      </c>
      <c r="R137" s="162" t="inlineStr">
        <is>
          <t>SPD03014_SPP_2-制造费用费率配置表</t>
        </is>
      </c>
      <c r="S137" s="158" t="inlineStr">
        <is>
          <t>截屏类电子文件【Electronic document】</t>
        </is>
      </c>
      <c r="T137" s="158">
        <f>N137</f>
        <v/>
      </c>
      <c r="U137" s="163" t="inlineStr">
        <is>
          <t>制造费用费率manufacturing overhead cost rate</t>
        </is>
      </c>
      <c r="V137" s="164" t="inlineStr">
        <is>
          <t>Agrees相符</t>
        </is>
      </c>
      <c r="W137" s="164" t="inlineStr">
        <is>
          <t>Reasonable合理</t>
        </is>
      </c>
      <c r="X137" s="164" t="inlineStr">
        <is>
          <t>Yes是</t>
        </is>
      </c>
      <c r="Y137" s="165" t="n"/>
      <c r="Z137" s="153" t="n"/>
    </row>
    <row r="138" outlineLevel="1" ht="16" customHeight="1">
      <c r="B138" s="221" t="n"/>
      <c r="C138" s="221" t="n"/>
      <c r="D138" s="221" t="n"/>
      <c r="E138" s="221" t="n"/>
      <c r="F138" s="221" t="n"/>
      <c r="G138" s="221" t="n"/>
      <c r="H138" s="221" t="n"/>
      <c r="I138" s="221" t="n"/>
      <c r="J138" s="221" t="n"/>
      <c r="K138" s="221" t="n"/>
      <c r="L138" s="222" t="n"/>
      <c r="M138" s="222" t="n"/>
      <c r="N138" s="221" t="n"/>
      <c r="O138" s="221" t="n"/>
      <c r="P138" s="222" t="n"/>
      <c r="Q138" s="222" t="n"/>
      <c r="R138" s="162" t="inlineStr">
        <is>
          <t>SPD03014_SPP_3-成本中心、成本要素、成本要素组对应关系配置表</t>
        </is>
      </c>
      <c r="S138" s="158" t="inlineStr">
        <is>
          <t>截屏类电子文件【Electronic document】</t>
        </is>
      </c>
      <c r="T138" s="221" t="n"/>
      <c r="U138" s="163" t="inlineStr">
        <is>
          <t>成本中心编码/名称Cost centres ID/Name
成本要素编码/名称cost elements ID/Name
成本要素组编码/名称cost element groups ID/Name</t>
        </is>
      </c>
      <c r="V138" s="164" t="inlineStr">
        <is>
          <t>N/A不适用</t>
        </is>
      </c>
      <c r="W138" s="164" t="inlineStr">
        <is>
          <t>Not selected未选</t>
        </is>
      </c>
      <c r="X138" s="164" t="inlineStr">
        <is>
          <t>N/A不适用</t>
        </is>
      </c>
      <c r="Y138" s="165" t="n"/>
      <c r="Z138" s="153" t="n"/>
    </row>
    <row r="139" ht="16" customHeight="1">
      <c r="B139" s="221" t="n"/>
      <c r="C139" s="221" t="n"/>
      <c r="D139" s="221" t="n"/>
      <c r="E139" s="221" t="n"/>
      <c r="F139" s="221" t="n"/>
      <c r="G139" s="221" t="n"/>
      <c r="H139" s="221" t="n"/>
      <c r="I139" s="221" t="n"/>
      <c r="J139" s="221" t="n"/>
      <c r="K139" s="221" t="n"/>
      <c r="L139" s="222" t="n"/>
      <c r="M139" s="222" t="n"/>
      <c r="N139" s="221" t="n"/>
      <c r="O139" s="221" t="n"/>
      <c r="P139" s="222" t="n"/>
      <c r="Q139" s="222" t="n"/>
      <c r="R139" s="162" t="inlineStr">
        <is>
          <t>SPD03014_SPP_4-辅助生产费用分摊权重数配置表</t>
        </is>
      </c>
      <c r="S139" s="158" t="inlineStr">
        <is>
          <t>截屏类电子文件【Electronic document】</t>
        </is>
      </c>
      <c r="T139" s="221" t="n"/>
      <c r="U139" s="163" t="inlineStr">
        <is>
          <t>辅助生产费用分摊权重数Numbers of weights for the allocation of auxiliary production costs</t>
        </is>
      </c>
      <c r="V139" s="164" t="inlineStr">
        <is>
          <t>N/A不适用</t>
        </is>
      </c>
      <c r="W139" s="164" t="inlineStr">
        <is>
          <t>Not selected未选</t>
        </is>
      </c>
      <c r="X139" s="164" t="inlineStr">
        <is>
          <t>N/A不适用</t>
        </is>
      </c>
      <c r="Y139" s="165" t="n"/>
      <c r="Z139" s="153" t="n"/>
    </row>
    <row r="140" ht="16" customHeight="1">
      <c r="B140" s="221" t="n"/>
      <c r="C140" s="221" t="n"/>
      <c r="D140" s="221" t="n"/>
      <c r="E140" s="221" t="n"/>
      <c r="F140" s="221" t="n"/>
      <c r="G140" s="221" t="n"/>
      <c r="H140" s="221" t="n"/>
      <c r="I140" s="221" t="n"/>
      <c r="J140" s="221" t="n"/>
      <c r="K140" s="221" t="n"/>
      <c r="L140" s="222" t="n"/>
      <c r="M140" s="222" t="n"/>
      <c r="N140" s="221" t="n"/>
      <c r="O140" s="221" t="n"/>
      <c r="P140" s="222" t="n"/>
      <c r="Q140" s="222" t="n"/>
      <c r="R140" s="162" t="inlineStr">
        <is>
          <t>SPD03014_SPP_5-实际定额工时配置表</t>
        </is>
      </c>
      <c r="S140" s="158" t="inlineStr">
        <is>
          <t>截屏类电子文件【Electronic document】</t>
        </is>
      </c>
      <c r="T140" s="221" t="n"/>
      <c r="U140" s="163" t="inlineStr">
        <is>
          <t>实际定额工时Actual rated hours</t>
        </is>
      </c>
      <c r="V140" s="164" t="inlineStr">
        <is>
          <t>Agrees相符</t>
        </is>
      </c>
      <c r="W140" s="164" t="inlineStr">
        <is>
          <t>Reasonable合理</t>
        </is>
      </c>
      <c r="X140" s="164" t="inlineStr">
        <is>
          <t>Yes是</t>
        </is>
      </c>
      <c r="Y140" s="165" t="n"/>
      <c r="Z140" s="153" t="n"/>
    </row>
    <row r="141" ht="16" customHeight="1">
      <c r="B141" s="221" t="n"/>
      <c r="C141" s="221" t="n"/>
      <c r="D141" s="221" t="n"/>
      <c r="E141" s="221" t="n"/>
      <c r="F141" s="221" t="n"/>
      <c r="G141" s="221" t="n"/>
      <c r="H141" s="221" t="n"/>
      <c r="I141" s="221" t="n"/>
      <c r="J141" s="221" t="n"/>
      <c r="K141" s="221" t="n"/>
      <c r="L141" s="222" t="n"/>
      <c r="M141" s="222" t="n"/>
      <c r="N141" s="221" t="n"/>
      <c r="O141" s="221" t="n"/>
      <c r="P141" s="222" t="n"/>
      <c r="Q141" s="222" t="n"/>
      <c r="R141" s="162" t="inlineStr">
        <is>
          <t>SPD03014_SPP_6-&lt;CO03_成本分析&gt;表</t>
        </is>
      </c>
      <c r="S141" s="158" t="inlineStr">
        <is>
          <t>清单类电子数据【Electronic data】</t>
        </is>
      </c>
      <c r="T141" s="221" t="n"/>
      <c r="U141" s="163" t="inlineStr">
        <is>
          <t>完工数量Completed quantity
实际成本[“总的实际成本”]Actual cost ["total actual cost"]</t>
        </is>
      </c>
      <c r="V141" s="164" t="inlineStr">
        <is>
          <t>Agrees相符</t>
        </is>
      </c>
      <c r="W141" s="164" t="inlineStr">
        <is>
          <t>Reasonable合理</t>
        </is>
      </c>
      <c r="X141" s="164" t="inlineStr">
        <is>
          <t>Yes是</t>
        </is>
      </c>
      <c r="Y141" s="165" t="n"/>
      <c r="Z141" s="153" t="n"/>
    </row>
    <row r="142" ht="16" customHeight="1">
      <c r="B142" s="223" t="n"/>
      <c r="C142" s="223" t="n"/>
      <c r="D142" s="223" t="n"/>
      <c r="E142" s="223" t="n"/>
      <c r="F142" s="223" t="n"/>
      <c r="G142" s="223" t="n"/>
      <c r="H142" s="223" t="n"/>
      <c r="I142" s="223" t="n"/>
      <c r="J142" s="223" t="n"/>
      <c r="K142" s="223" t="n"/>
      <c r="L142" s="224" t="n"/>
      <c r="M142" s="224" t="n"/>
      <c r="N142" s="223" t="n"/>
      <c r="O142" s="223" t="n"/>
      <c r="P142" s="224" t="n"/>
      <c r="Q142" s="224" t="n"/>
      <c r="R142" s="162" t="inlineStr">
        <is>
          <t>SPD03014_SPP_7-工艺路线配置表</t>
        </is>
      </c>
      <c r="S142" s="158" t="inlineStr">
        <is>
          <t>截屏类电子文件【Electronic document】</t>
        </is>
      </c>
      <c r="T142" s="223" t="n"/>
      <c r="U142" s="163" t="inlineStr">
        <is>
          <t>工序编码/名称Process Route ID/Name
工序数量Process Route Quantity</t>
        </is>
      </c>
      <c r="V142" s="164" t="inlineStr">
        <is>
          <t>N/A不适用</t>
        </is>
      </c>
      <c r="W142" s="164" t="inlineStr">
        <is>
          <t>Not selected未选</t>
        </is>
      </c>
      <c r="X142" s="164" t="inlineStr">
        <is>
          <t>N/A不适用</t>
        </is>
      </c>
      <c r="Y142" s="165" t="n"/>
      <c r="Z142" s="153" t="n"/>
    </row>
    <row r="143" ht="24" customHeight="1">
      <c r="B143" s="168" t="inlineStr">
        <is>
          <t>Table B: Recalculate the total cost variance 重新计算总成本差异</t>
        </is>
      </c>
      <c r="I143" s="169" t="n"/>
      <c r="J143" s="133" t="n"/>
      <c r="N143" s="169" t="n"/>
      <c r="R143" s="170" t="n"/>
      <c r="S143" s="170" t="n"/>
      <c r="T143" s="170" t="n"/>
      <c r="U143" s="170" t="n"/>
      <c r="Z143" s="153" t="n"/>
    </row>
    <row r="144" ht="29.75" customHeight="1">
      <c r="B144" s="171" t="inlineStr">
        <is>
          <t>Step2. Reperform the calculation
重新计算</t>
        </is>
      </c>
      <c r="C144" s="225" t="n"/>
      <c r="D144" s="225" t="n"/>
      <c r="E144" s="225" t="n"/>
      <c r="F144" s="225" t="n"/>
      <c r="G144" s="225" t="n"/>
      <c r="H144" s="225" t="n"/>
      <c r="I144" s="225" t="n"/>
      <c r="J144" s="225" t="n"/>
      <c r="K144" s="225" t="n"/>
      <c r="L144" s="225" t="n"/>
      <c r="M144" s="225" t="n"/>
      <c r="N144" s="225" t="n"/>
      <c r="Z144" s="153" t="n"/>
    </row>
    <row r="145" ht="119" customHeight="1">
      <c r="B145" s="138" t="inlineStr">
        <is>
          <t>序号</t>
        </is>
      </c>
      <c r="C145" s="136" t="inlineStr">
        <is>
          <t>Product ID #
产品ID编号</t>
        </is>
      </c>
      <c r="D145" s="136" t="inlineStr">
        <is>
          <t>Cost center
成本中心</t>
        </is>
      </c>
      <c r="E145" s="136" t="inlineStr">
        <is>
          <t>Order ID #
生产订单ID编号</t>
        </is>
      </c>
      <c r="F145" s="172" t="inlineStr">
        <is>
          <t>Nature of the expense
费用性质</t>
        </is>
      </c>
      <c r="G145" s="134" t="inlineStr">
        <is>
          <t xml:space="preserve">每单位标准成本金额Standard cost amount per unit
</t>
        </is>
      </c>
      <c r="H145" s="134" t="inlineStr">
        <is>
          <t>Labor hours
工时数</t>
        </is>
      </c>
      <c r="I145" s="134" t="inlineStr">
        <is>
          <t>Standard cost total amount
标准成本总额</t>
        </is>
      </c>
      <c r="J145" s="138" t="inlineStr">
        <is>
          <t>Actual cost total amount
实际成本总额</t>
        </is>
      </c>
      <c r="K145" s="173" t="inlineStr">
        <is>
          <t>重新计算的成本差异Recalculated cost variance
重新计算的成本差异</t>
        </is>
      </c>
      <c r="L145" s="140" t="inlineStr">
        <is>
          <t xml:space="preserve">账上的成本差异Cost variance in accounting book
</t>
        </is>
      </c>
      <c r="M145" s="141" t="inlineStr">
        <is>
          <t>Variance
差异</t>
        </is>
      </c>
      <c r="N145" s="134" t="inlineStr">
        <is>
          <t>Notes 注释</t>
        </is>
      </c>
      <c r="O145" s="169" t="n"/>
      <c r="Y145" s="153" t="n"/>
    </row>
    <row r="146" outlineLevel="1" ht="14" customHeight="1">
      <c r="B146" s="174" t="n"/>
      <c r="C146" s="175" t="n"/>
      <c r="D146" s="175" t="n"/>
      <c r="E146" s="175" t="n"/>
      <c r="F146" s="176" t="n"/>
      <c r="G146" s="176" t="inlineStr">
        <is>
          <t>A</t>
        </is>
      </c>
      <c r="H146" s="176" t="inlineStr">
        <is>
          <t>B</t>
        </is>
      </c>
      <c r="I146" s="176" t="inlineStr">
        <is>
          <t>C=A*B</t>
        </is>
      </c>
      <c r="J146" s="176" t="inlineStr">
        <is>
          <t>D</t>
        </is>
      </c>
      <c r="K146" s="176" t="inlineStr">
        <is>
          <t>E=D-C</t>
        </is>
      </c>
      <c r="L146" s="176" t="inlineStr">
        <is>
          <t>F</t>
        </is>
      </c>
      <c r="M146" s="176" t="inlineStr">
        <is>
          <t>G=E-F</t>
        </is>
      </c>
      <c r="N146" s="177" t="n"/>
      <c r="O146" s="169" t="n"/>
      <c r="P146" s="169" t="n"/>
      <c r="Y146" s="153" t="n"/>
    </row>
    <row r="147" ht="20.5" customHeight="1">
      <c r="B147" s="178" t="inlineStr">
        <is>
          <t>样本1</t>
        </is>
      </c>
      <c r="C147" s="179">
        <f>'SPD03012-IRM(SAP)'!C103</f>
        <v/>
      </c>
      <c r="D147" s="180">
        <f>'SPD03012-IRM(SAP)'!D103</f>
        <v/>
      </c>
      <c r="E147" s="180">
        <f>'SPD03012-IRM(SAP)'!E103</f>
        <v/>
      </c>
      <c r="F147" s="181">
        <f>F23</f>
        <v/>
      </c>
      <c r="G147" s="182" t="n">
        <v>16.29470198675497</v>
      </c>
      <c r="H147" s="183">
        <f>G23</f>
        <v/>
      </c>
      <c r="I147" s="184">
        <f>G147*H147</f>
        <v/>
      </c>
      <c r="J147" s="185">
        <f>I23</f>
        <v/>
      </c>
      <c r="K147" s="186">
        <f>J147-I147</f>
        <v/>
      </c>
      <c r="L147" s="185">
        <f>J23</f>
        <v/>
      </c>
      <c r="M147" s="186">
        <f>L147-K147</f>
        <v/>
      </c>
      <c r="N147" s="187" t="n"/>
      <c r="Z147" s="188" t="n"/>
    </row>
    <row r="148" ht="20.5" customHeight="1">
      <c r="B148" s="178" t="inlineStr">
        <is>
          <t>样本1</t>
        </is>
      </c>
      <c r="C148" s="179" t="n">
        <v>11000177</v>
      </c>
      <c r="D148" s="180" t="inlineStr">
        <is>
          <t>1100P00001</t>
        </is>
      </c>
      <c r="E148" s="180" t="n">
        <v>11000437</v>
      </c>
      <c r="F148" s="181">
        <f>F29</f>
        <v/>
      </c>
      <c r="G148" s="182" t="n">
        <v>1.033774834437086</v>
      </c>
      <c r="H148" s="183">
        <f>H147</f>
        <v/>
      </c>
      <c r="I148" s="184">
        <f>G148*H148</f>
        <v/>
      </c>
      <c r="J148" s="185">
        <f>I29</f>
        <v/>
      </c>
      <c r="K148" s="186">
        <f>J148-I148</f>
        <v/>
      </c>
      <c r="L148" s="185">
        <f>J29</f>
        <v/>
      </c>
      <c r="M148" s="186">
        <f>L148-K148</f>
        <v/>
      </c>
      <c r="N148" s="187" t="n"/>
      <c r="Z148" s="188" t="n"/>
    </row>
    <row r="149" ht="20.5" customHeight="1">
      <c r="B149" s="178" t="inlineStr">
        <is>
          <t>样本1</t>
        </is>
      </c>
      <c r="C149" s="179" t="n">
        <v>11000177</v>
      </c>
      <c r="D149" s="180" t="inlineStr">
        <is>
          <t>1100P00001</t>
        </is>
      </c>
      <c r="E149" s="180" t="n">
        <v>11000437</v>
      </c>
      <c r="F149" s="181">
        <f>F35</f>
        <v/>
      </c>
      <c r="G149" s="182" t="n">
        <v>2.336423841059603</v>
      </c>
      <c r="H149" s="183">
        <f>H148</f>
        <v/>
      </c>
      <c r="I149" s="184">
        <f>G149*H149</f>
        <v/>
      </c>
      <c r="J149" s="185">
        <f>I35</f>
        <v/>
      </c>
      <c r="K149" s="186">
        <f>J149-I149</f>
        <v/>
      </c>
      <c r="L149" s="185">
        <f>J35</f>
        <v/>
      </c>
      <c r="M149" s="186">
        <f>L149-K149</f>
        <v/>
      </c>
      <c r="N149" s="187" t="n"/>
      <c r="Z149" s="188" t="n"/>
    </row>
    <row r="150" ht="20.5" customHeight="1">
      <c r="B150" s="178" t="inlineStr">
        <is>
          <t>样本1</t>
        </is>
      </c>
      <c r="C150" s="179" t="n">
        <v>11000177</v>
      </c>
      <c r="D150" s="180" t="inlineStr">
        <is>
          <t>1100P00001</t>
        </is>
      </c>
      <c r="E150" s="180" t="n">
        <v>11000437</v>
      </c>
      <c r="F150" s="181">
        <f>F41</f>
        <v/>
      </c>
      <c r="G150" s="182" t="n">
        <v>5.678807947019868</v>
      </c>
      <c r="H150" s="183">
        <f>H149</f>
        <v/>
      </c>
      <c r="I150" s="184">
        <f>G150*H150</f>
        <v/>
      </c>
      <c r="J150" s="185">
        <f>I41</f>
        <v/>
      </c>
      <c r="K150" s="186">
        <f>J150-I150</f>
        <v/>
      </c>
      <c r="L150" s="185">
        <f>J41</f>
        <v/>
      </c>
      <c r="M150" s="186">
        <f>L150-K150</f>
        <v/>
      </c>
      <c r="N150" s="187" t="n"/>
      <c r="Z150" s="188" t="n"/>
    </row>
    <row r="151" ht="20.5" customHeight="1">
      <c r="B151" s="178" t="inlineStr">
        <is>
          <t>样本2</t>
        </is>
      </c>
      <c r="C151" s="179">
        <f>'SPD03012-IRM(SAP)'!C105</f>
        <v/>
      </c>
      <c r="D151" s="180">
        <f>'SPD03012-IRM(SAP)'!D105</f>
        <v/>
      </c>
      <c r="E151" s="180">
        <f>'SPD03012-IRM(SAP)'!E105</f>
        <v/>
      </c>
      <c r="F151" s="181">
        <f>F147</f>
        <v/>
      </c>
      <c r="G151" s="182" t="n">
        <v>35.15000000000001</v>
      </c>
      <c r="H151" s="183">
        <f>$N$47</f>
        <v/>
      </c>
      <c r="I151" s="184">
        <f>'CO03'!E112</f>
        <v/>
      </c>
      <c r="J151" s="185">
        <f>$I$47</f>
        <v/>
      </c>
      <c r="K151" s="186">
        <f>J151-I151</f>
        <v/>
      </c>
      <c r="L151" s="185">
        <f>J47</f>
        <v/>
      </c>
      <c r="M151" s="186">
        <f>L151-K151</f>
        <v/>
      </c>
      <c r="N151" s="187" t="n"/>
      <c r="Z151" s="188" t="n"/>
    </row>
    <row r="152" ht="20.5" customHeight="1">
      <c r="B152" s="178" t="inlineStr">
        <is>
          <t>样本2</t>
        </is>
      </c>
      <c r="C152" s="179" t="n">
        <v>11000027</v>
      </c>
      <c r="D152" s="180" t="inlineStr">
        <is>
          <t>1100P00001</t>
        </is>
      </c>
      <c r="E152" s="180" t="n">
        <v>11000027</v>
      </c>
      <c r="F152" s="181">
        <f>F148</f>
        <v/>
      </c>
      <c r="G152" s="182" t="n">
        <v>7.23</v>
      </c>
      <c r="H152" s="183">
        <f>$N$47</f>
        <v/>
      </c>
      <c r="I152" s="184">
        <f>'CO03'!E114</f>
        <v/>
      </c>
      <c r="J152" s="185">
        <f>J151</f>
        <v/>
      </c>
      <c r="K152" s="186">
        <f>J152-I152</f>
        <v/>
      </c>
      <c r="L152" s="185">
        <f>J53</f>
        <v/>
      </c>
      <c r="M152" s="186">
        <f>L152-K152</f>
        <v/>
      </c>
      <c r="N152" s="187" t="n"/>
      <c r="Z152" s="188" t="n"/>
    </row>
    <row r="153" ht="20.5" customHeight="1">
      <c r="B153" s="178" t="inlineStr">
        <is>
          <t>样本2</t>
        </is>
      </c>
      <c r="C153" s="179" t="n">
        <v>11000027</v>
      </c>
      <c r="D153" s="180" t="inlineStr">
        <is>
          <t>1100P00001</t>
        </is>
      </c>
      <c r="E153" s="180" t="n">
        <v>11000027</v>
      </c>
      <c r="F153" s="181">
        <f>F149</f>
        <v/>
      </c>
      <c r="G153" s="182" t="n">
        <v>318.96</v>
      </c>
      <c r="H153" s="183">
        <f>$N$47</f>
        <v/>
      </c>
      <c r="I153" s="184">
        <f>'CO03'!E115</f>
        <v/>
      </c>
      <c r="J153" s="185">
        <f>J152</f>
        <v/>
      </c>
      <c r="K153" s="186">
        <f>J153-I153</f>
        <v/>
      </c>
      <c r="L153" s="185">
        <f>J59</f>
        <v/>
      </c>
      <c r="M153" s="186">
        <f>L153-K153</f>
        <v/>
      </c>
      <c r="N153" s="187" t="n"/>
      <c r="Z153" s="188" t="n"/>
    </row>
    <row r="154" ht="20.5" customHeight="1">
      <c r="B154" s="178" t="inlineStr">
        <is>
          <t>样本2</t>
        </is>
      </c>
      <c r="C154" s="179" t="n">
        <v>11000027</v>
      </c>
      <c r="D154" s="180" t="inlineStr">
        <is>
          <t>1100P00001</t>
        </is>
      </c>
      <c r="E154" s="180" t="n">
        <v>11000027</v>
      </c>
      <c r="F154" s="181">
        <f>F150</f>
        <v/>
      </c>
      <c r="G154" s="182" t="n">
        <v>64.17999999999999</v>
      </c>
      <c r="H154" s="183">
        <f>$N$47</f>
        <v/>
      </c>
      <c r="I154" s="184">
        <f>'CO03'!E116</f>
        <v/>
      </c>
      <c r="J154" s="185">
        <f>J153</f>
        <v/>
      </c>
      <c r="K154" s="186">
        <f>J154-I154</f>
        <v/>
      </c>
      <c r="L154" s="185">
        <f>J65</f>
        <v/>
      </c>
      <c r="M154" s="186">
        <f>L154-K154</f>
        <v/>
      </c>
      <c r="N154" s="187" t="n"/>
      <c r="Z154" s="188" t="n"/>
    </row>
    <row r="155" ht="20.5" customHeight="1">
      <c r="B155" s="178" t="inlineStr">
        <is>
          <t>样本3</t>
        </is>
      </c>
      <c r="C155" s="179">
        <f>'SPD03012-IRM(SAP)'!C107</f>
        <v/>
      </c>
      <c r="D155" s="180">
        <f>'SPD03012-IRM(SAP)'!D107</f>
        <v/>
      </c>
      <c r="E155" s="180">
        <f>'SPD03012-IRM(SAP)'!E107</f>
        <v/>
      </c>
      <c r="F155" s="181">
        <f>F151</f>
        <v/>
      </c>
      <c r="G155" s="182" t="n">
        <v>21.35</v>
      </c>
      <c r="H155" s="183">
        <f>$N$71</f>
        <v/>
      </c>
      <c r="I155" s="184">
        <f>'CO03'!E171</f>
        <v/>
      </c>
      <c r="J155" s="185">
        <f>$I$71</f>
        <v/>
      </c>
      <c r="K155" s="186">
        <f>J155-I155</f>
        <v/>
      </c>
      <c r="L155" s="185">
        <f>J71</f>
        <v/>
      </c>
      <c r="M155" s="186">
        <f>L155-K155</f>
        <v/>
      </c>
      <c r="N155" s="187" t="n"/>
      <c r="Z155" s="188" t="n"/>
    </row>
    <row r="156" ht="20.5" customHeight="1">
      <c r="B156" s="178" t="inlineStr">
        <is>
          <t>样本3</t>
        </is>
      </c>
      <c r="C156" s="179" t="n">
        <v>12006492</v>
      </c>
      <c r="D156" s="180" t="inlineStr">
        <is>
          <t>1100P00002</t>
        </is>
      </c>
      <c r="E156" s="180" t="n">
        <v>11001846</v>
      </c>
      <c r="F156" s="181">
        <f>F152</f>
        <v/>
      </c>
      <c r="G156" s="182" t="n">
        <v>37.4</v>
      </c>
      <c r="H156" s="183">
        <f>$N$71</f>
        <v/>
      </c>
      <c r="I156" s="184">
        <f>'CO03'!E173</f>
        <v/>
      </c>
      <c r="J156" s="185">
        <f>$I$71</f>
        <v/>
      </c>
      <c r="K156" s="186">
        <f>J156-I156</f>
        <v/>
      </c>
      <c r="L156" s="185">
        <f>J77</f>
        <v/>
      </c>
      <c r="M156" s="186">
        <f>L156-K156</f>
        <v/>
      </c>
      <c r="N156" s="187" t="n"/>
      <c r="Z156" s="188" t="n"/>
    </row>
    <row r="157" ht="20.5" customHeight="1">
      <c r="B157" s="178" t="inlineStr">
        <is>
          <t>样本3</t>
        </is>
      </c>
      <c r="C157" s="179" t="n">
        <v>12006492</v>
      </c>
      <c r="D157" s="180" t="inlineStr">
        <is>
          <t>1100P00002</t>
        </is>
      </c>
      <c r="E157" s="180" t="n">
        <v>11001846</v>
      </c>
      <c r="F157" s="181">
        <f>F153</f>
        <v/>
      </c>
      <c r="G157" s="182" t="n">
        <v>7.65</v>
      </c>
      <c r="H157" s="183">
        <f>$N$71</f>
        <v/>
      </c>
      <c r="I157" s="184">
        <f>'CO03'!E174</f>
        <v/>
      </c>
      <c r="J157" s="185">
        <f>$I$71</f>
        <v/>
      </c>
      <c r="K157" s="186">
        <f>J157-I157</f>
        <v/>
      </c>
      <c r="L157" s="185">
        <f>J83</f>
        <v/>
      </c>
      <c r="M157" s="186">
        <f>L157-K157</f>
        <v/>
      </c>
      <c r="N157" s="187" t="n"/>
      <c r="Z157" s="188" t="n"/>
    </row>
    <row r="158" ht="20.5" customHeight="1">
      <c r="B158" s="178" t="inlineStr">
        <is>
          <t>样本3</t>
        </is>
      </c>
      <c r="C158" s="179" t="n">
        <v>12006492</v>
      </c>
      <c r="D158" s="180" t="inlineStr">
        <is>
          <t>1100P00002</t>
        </is>
      </c>
      <c r="E158" s="180" t="n">
        <v>11001846</v>
      </c>
      <c r="F158" s="181">
        <f>F154</f>
        <v/>
      </c>
      <c r="G158" s="182" t="n">
        <v>5.47</v>
      </c>
      <c r="H158" s="183">
        <f>$N$71</f>
        <v/>
      </c>
      <c r="I158" s="184">
        <f>'CO03'!E175</f>
        <v/>
      </c>
      <c r="J158" s="185">
        <f>$I$71</f>
        <v/>
      </c>
      <c r="K158" s="186">
        <f>J158-I158</f>
        <v/>
      </c>
      <c r="L158" s="185">
        <f>J89</f>
        <v/>
      </c>
      <c r="M158" s="186">
        <f>L158-K158</f>
        <v/>
      </c>
      <c r="N158" s="187" t="n"/>
      <c r="Z158" s="188" t="n"/>
    </row>
    <row r="159" ht="20.5" customHeight="1">
      <c r="B159" s="178" t="inlineStr">
        <is>
          <t>样本4</t>
        </is>
      </c>
      <c r="C159" s="179" t="n">
        <v>12007933</v>
      </c>
      <c r="D159" s="180" t="inlineStr">
        <is>
          <t>1100P00002</t>
        </is>
      </c>
      <c r="E159" s="180" t="n">
        <v>11002963</v>
      </c>
      <c r="F159" s="181">
        <f>F155</f>
        <v/>
      </c>
      <c r="G159" s="182" t="n">
        <v>21.35</v>
      </c>
      <c r="H159" s="183">
        <f>$N$101</f>
        <v/>
      </c>
      <c r="I159" s="184">
        <f>G159*H159</f>
        <v/>
      </c>
      <c r="J159" s="185">
        <f>I95</f>
        <v/>
      </c>
      <c r="K159" s="186">
        <f>J159-I159</f>
        <v/>
      </c>
      <c r="L159" s="185">
        <f>J95</f>
        <v/>
      </c>
      <c r="M159" s="186">
        <f>L159-K159</f>
        <v/>
      </c>
      <c r="N159" s="187" t="n"/>
      <c r="Z159" s="188" t="n"/>
    </row>
    <row r="160" ht="20.5" customHeight="1">
      <c r="B160" s="178" t="inlineStr">
        <is>
          <t>样本4</t>
        </is>
      </c>
      <c r="C160" s="179" t="n">
        <v>12007933</v>
      </c>
      <c r="D160" s="180" t="inlineStr">
        <is>
          <t>1100P00002</t>
        </is>
      </c>
      <c r="E160" s="180" t="n">
        <v>11002963</v>
      </c>
      <c r="F160" s="181">
        <f>F156</f>
        <v/>
      </c>
      <c r="G160" s="182" t="n">
        <v>37.4</v>
      </c>
      <c r="H160" s="183">
        <f>$N$101</f>
        <v/>
      </c>
      <c r="I160" s="184">
        <f>G160*H160</f>
        <v/>
      </c>
      <c r="J160" s="185">
        <f>I101</f>
        <v/>
      </c>
      <c r="K160" s="186">
        <f>J160-I160</f>
        <v/>
      </c>
      <c r="L160" s="185">
        <f>J101</f>
        <v/>
      </c>
      <c r="M160" s="186">
        <f>L160-K160</f>
        <v/>
      </c>
      <c r="N160" s="187" t="n"/>
      <c r="Z160" s="188" t="n"/>
    </row>
    <row r="161" ht="20.5" customHeight="1">
      <c r="B161" s="178" t="inlineStr">
        <is>
          <t>样本4</t>
        </is>
      </c>
      <c r="C161" s="179" t="n">
        <v>12007933</v>
      </c>
      <c r="D161" s="180" t="inlineStr">
        <is>
          <t>1100P00002</t>
        </is>
      </c>
      <c r="E161" s="180" t="n">
        <v>11002963</v>
      </c>
      <c r="F161" s="181">
        <f>F157</f>
        <v/>
      </c>
      <c r="G161" s="182" t="n">
        <v>7.65</v>
      </c>
      <c r="H161" s="183">
        <f>$N$101</f>
        <v/>
      </c>
      <c r="I161" s="184">
        <f>G161*H161</f>
        <v/>
      </c>
      <c r="J161" s="185">
        <f>I107</f>
        <v/>
      </c>
      <c r="K161" s="186">
        <f>J161-I161</f>
        <v/>
      </c>
      <c r="L161" s="185">
        <f>J107</f>
        <v/>
      </c>
      <c r="M161" s="186">
        <f>L161-K161</f>
        <v/>
      </c>
      <c r="N161" s="187" t="n"/>
      <c r="Z161" s="188" t="n"/>
    </row>
    <row r="162" ht="20.5" customHeight="1">
      <c r="B162" s="178" t="inlineStr">
        <is>
          <t>样本4</t>
        </is>
      </c>
      <c r="C162" s="179" t="n">
        <v>12007933</v>
      </c>
      <c r="D162" s="180" t="inlineStr">
        <is>
          <t>1100P00002</t>
        </is>
      </c>
      <c r="E162" s="180" t="n">
        <v>11002963</v>
      </c>
      <c r="F162" s="181">
        <f>F158</f>
        <v/>
      </c>
      <c r="G162" s="182" t="n">
        <v>5.47</v>
      </c>
      <c r="H162" s="183">
        <f>$N$101</f>
        <v/>
      </c>
      <c r="I162" s="184">
        <f>G162*H162</f>
        <v/>
      </c>
      <c r="J162" s="185">
        <f>I113</f>
        <v/>
      </c>
      <c r="K162" s="186">
        <f>J162-I162</f>
        <v/>
      </c>
      <c r="L162" s="185">
        <f>J113</f>
        <v/>
      </c>
      <c r="M162" s="186">
        <f>L162-K162</f>
        <v/>
      </c>
      <c r="N162" s="187" t="n"/>
      <c r="Z162" s="188" t="n"/>
    </row>
    <row r="163" ht="20.5" customHeight="1">
      <c r="B163" s="178" t="inlineStr">
        <is>
          <t>样本5</t>
        </is>
      </c>
      <c r="C163" s="179">
        <f>'SPD03012-IRM(SAP)'!C111</f>
        <v/>
      </c>
      <c r="D163" s="180">
        <f>'SPD03012-IRM(SAP)'!D111</f>
        <v/>
      </c>
      <c r="E163" s="180">
        <f>'SPD03012-IRM(SAP)'!E111</f>
        <v/>
      </c>
      <c r="F163" s="181">
        <f>F159</f>
        <v/>
      </c>
      <c r="G163" s="182" t="n">
        <v>0</v>
      </c>
      <c r="H163" s="183">
        <f>$N$119</f>
        <v/>
      </c>
      <c r="I163" s="184">
        <f>G163*H163</f>
        <v/>
      </c>
      <c r="J163" s="185">
        <f>I119</f>
        <v/>
      </c>
      <c r="K163" s="186">
        <f>J163-I163</f>
        <v/>
      </c>
      <c r="L163" s="185">
        <f>J119</f>
        <v/>
      </c>
      <c r="M163" s="186">
        <f>L163-K163</f>
        <v/>
      </c>
      <c r="N163" s="187" t="n"/>
      <c r="Z163" s="188" t="n"/>
    </row>
    <row r="164" ht="20.5" customHeight="1">
      <c r="B164" s="178" t="inlineStr">
        <is>
          <t>样本5</t>
        </is>
      </c>
      <c r="C164" s="179" t="n">
        <v>11000236</v>
      </c>
      <c r="D164" s="180" t="inlineStr">
        <is>
          <t>1100P00001</t>
        </is>
      </c>
      <c r="E164" s="180" t="n">
        <v>11004120</v>
      </c>
      <c r="F164" s="181">
        <f>F160</f>
        <v/>
      </c>
      <c r="G164" s="182" t="n">
        <v>0</v>
      </c>
      <c r="H164" s="183">
        <f>$N$119</f>
        <v/>
      </c>
      <c r="I164" s="184">
        <f>G164*H164</f>
        <v/>
      </c>
      <c r="J164" s="185">
        <f>I125</f>
        <v/>
      </c>
      <c r="K164" s="186">
        <f>J164-I164</f>
        <v/>
      </c>
      <c r="L164" s="185">
        <f>J125</f>
        <v/>
      </c>
      <c r="M164" s="186">
        <f>L164-K164</f>
        <v/>
      </c>
      <c r="N164" s="187" t="n"/>
      <c r="Z164" s="188" t="n"/>
    </row>
    <row r="165" ht="20.5" customHeight="1">
      <c r="B165" s="178" t="inlineStr">
        <is>
          <t>样本5</t>
        </is>
      </c>
      <c r="C165" s="179" t="n">
        <v>11000236</v>
      </c>
      <c r="D165" s="180" t="inlineStr">
        <is>
          <t>1100P00001</t>
        </is>
      </c>
      <c r="E165" s="180" t="n">
        <v>11004120</v>
      </c>
      <c r="F165" s="181">
        <f>F161</f>
        <v/>
      </c>
      <c r="G165" s="182" t="n">
        <v>0</v>
      </c>
      <c r="H165" s="183">
        <f>$N$119</f>
        <v/>
      </c>
      <c r="I165" s="184">
        <f>G165*H165</f>
        <v/>
      </c>
      <c r="J165" s="185">
        <f>I131</f>
        <v/>
      </c>
      <c r="K165" s="186">
        <f>J165-I165</f>
        <v/>
      </c>
      <c r="L165" s="185">
        <f>J131</f>
        <v/>
      </c>
      <c r="M165" s="186">
        <f>L165-K165</f>
        <v/>
      </c>
      <c r="N165" s="187" t="n"/>
      <c r="Z165" s="188" t="n"/>
    </row>
    <row r="166" ht="20.5" customHeight="1">
      <c r="B166" s="178" t="inlineStr">
        <is>
          <t>样本5</t>
        </is>
      </c>
      <c r="C166" s="179" t="n">
        <v>11000236</v>
      </c>
      <c r="D166" s="180" t="inlineStr">
        <is>
          <t>1100P00001</t>
        </is>
      </c>
      <c r="E166" s="180" t="n">
        <v>11004120</v>
      </c>
      <c r="F166" s="181">
        <f>F162</f>
        <v/>
      </c>
      <c r="G166" s="182" t="n">
        <v>0</v>
      </c>
      <c r="H166" s="183">
        <f>$N$119</f>
        <v/>
      </c>
      <c r="I166" s="184">
        <f>G166*H166</f>
        <v/>
      </c>
      <c r="J166" s="185">
        <f>I137</f>
        <v/>
      </c>
      <c r="K166" s="186">
        <f>J166-I166</f>
        <v/>
      </c>
      <c r="L166" s="185">
        <f>J137</f>
        <v/>
      </c>
      <c r="M166" s="186">
        <f>L166-K166</f>
        <v/>
      </c>
      <c r="N166" s="187" t="n"/>
      <c r="Z166" s="188" t="n"/>
    </row>
    <row r="167" ht="15" customHeight="1">
      <c r="P167" s="169" t="n"/>
      <c r="Z167" s="153" t="n"/>
    </row>
    <row r="168" ht="15" customHeight="1">
      <c r="B168" s="189" t="inlineStr">
        <is>
          <t>Additional documentation (If applicable) 其他记录 （若适用）</t>
        </is>
      </c>
      <c r="C168" s="190" t="n"/>
      <c r="D168" s="190" t="n"/>
      <c r="E168" s="190" t="n"/>
      <c r="F168" s="191" t="n"/>
      <c r="G168" s="191" t="n"/>
      <c r="H168" s="191" t="n"/>
      <c r="I168" s="191" t="n"/>
      <c r="J168" s="191" t="n"/>
      <c r="K168" s="191" t="n"/>
      <c r="L168" s="192" t="n"/>
      <c r="M168" s="191" t="n"/>
      <c r="N168" s="191" t="n"/>
      <c r="O168" s="191" t="n"/>
      <c r="P168" s="191" t="n"/>
      <c r="Z168" s="153" t="n"/>
    </row>
    <row r="169" ht="14.75" customHeight="1">
      <c r="J169" s="169" t="n"/>
      <c r="Z169" s="153" t="n"/>
    </row>
    <row r="170" outlineLevel="1" ht="14.75" customHeight="1"/>
    <row r="171" outlineLevel="1"/>
    <row r="172" outlineLevel="1"/>
    <row r="173" outlineLevel="1"/>
    <row r="174" outlineLevel="1"/>
    <row r="175" outlineLevel="1"/>
    <row r="176" outlineLevel="1"/>
    <row r="177" outlineLevel="1"/>
    <row r="178" outlineLevel="1"/>
    <row r="179" outlineLevel="1"/>
    <row r="180" outlineLevel="1"/>
    <row r="181" outlineLevel="1"/>
    <row r="182" outlineLevel="1"/>
    <row r="183" outlineLevel="1"/>
    <row r="184" outlineLevel="1"/>
    <row r="185" outlineLevel="1"/>
    <row r="186" outlineLevel="1"/>
    <row r="187" outlineLevel="1"/>
    <row r="188" outlineLevel="1"/>
    <row r="189" outlineLevel="1"/>
    <row r="190" outlineLevel="1"/>
    <row r="191" outlineLevel="1"/>
    <row r="192" outlineLevel="1"/>
    <row r="193" outlineLevel="1"/>
  </sheetData>
  <mergeCells count="349">
    <mergeCell ref="O53:O58"/>
    <mergeCell ref="Q53:Q58"/>
    <mergeCell ref="E23:E28"/>
    <mergeCell ref="G23:G28"/>
    <mergeCell ref="H113:H118"/>
    <mergeCell ref="T83:T88"/>
    <mergeCell ref="C41:C46"/>
    <mergeCell ref="M89:M94"/>
    <mergeCell ref="O89:O94"/>
    <mergeCell ref="H119:H124"/>
    <mergeCell ref="O71:O76"/>
    <mergeCell ref="K107:K112"/>
    <mergeCell ref="C131:C136"/>
    <mergeCell ref="B3:S3"/>
    <mergeCell ref="P47:P52"/>
    <mergeCell ref="O77:O82"/>
    <mergeCell ref="Q77:Q82"/>
    <mergeCell ref="G77:G82"/>
    <mergeCell ref="I77:I82"/>
    <mergeCell ref="F137:F142"/>
    <mergeCell ref="H137:H142"/>
    <mergeCell ref="L71:L76"/>
    <mergeCell ref="C113:C118"/>
    <mergeCell ref="C29:C34"/>
    <mergeCell ref="E29:E34"/>
    <mergeCell ref="C65:C70"/>
    <mergeCell ref="J65:J70"/>
    <mergeCell ref="L83:L88"/>
    <mergeCell ref="J119:J124"/>
    <mergeCell ref="C95:C100"/>
    <mergeCell ref="E95:E100"/>
    <mergeCell ref="E89:E94"/>
    <mergeCell ref="G95:G100"/>
    <mergeCell ref="G89:G94"/>
    <mergeCell ref="M23:M28"/>
    <mergeCell ref="P53:P58"/>
    <mergeCell ref="D29:D34"/>
    <mergeCell ref="Q41:Q46"/>
    <mergeCell ref="F29:F34"/>
    <mergeCell ref="D23:D28"/>
    <mergeCell ref="I65:I70"/>
    <mergeCell ref="K65:K70"/>
    <mergeCell ref="B125:B130"/>
    <mergeCell ref="P119:P124"/>
    <mergeCell ref="F89:F94"/>
    <mergeCell ref="H89:H94"/>
    <mergeCell ref="N71:N76"/>
    <mergeCell ref="J107:J112"/>
    <mergeCell ref="G83:G88"/>
    <mergeCell ref="I83:I88"/>
    <mergeCell ref="N137:N142"/>
    <mergeCell ref="P137:P142"/>
    <mergeCell ref="F77:F82"/>
    <mergeCell ref="H77:H82"/>
    <mergeCell ref="M29:M34"/>
    <mergeCell ref="O23:O28"/>
    <mergeCell ref="C53:C58"/>
    <mergeCell ref="E47:E52"/>
    <mergeCell ref="B113:B118"/>
    <mergeCell ref="M71:M76"/>
    <mergeCell ref="H35:H40"/>
    <mergeCell ref="T101:T106"/>
    <mergeCell ref="L101:L106"/>
    <mergeCell ref="N101:N106"/>
    <mergeCell ref="F59:F64"/>
    <mergeCell ref="H59:H64"/>
    <mergeCell ref="D95:D100"/>
    <mergeCell ref="J59:J64"/>
    <mergeCell ref="F95:F100"/>
    <mergeCell ref="I131:I136"/>
    <mergeCell ref="K131:K136"/>
    <mergeCell ref="C71:C76"/>
    <mergeCell ref="L23:L28"/>
    <mergeCell ref="N23:N28"/>
    <mergeCell ref="P23:P28"/>
    <mergeCell ref="D47:D52"/>
    <mergeCell ref="P125:P130"/>
    <mergeCell ref="J125:J130"/>
    <mergeCell ref="T41:T46"/>
    <mergeCell ref="H65:H70"/>
    <mergeCell ref="M53:M58"/>
    <mergeCell ref="E53:E58"/>
    <mergeCell ref="G47:G52"/>
    <mergeCell ref="D113:D118"/>
    <mergeCell ref="O119:O124"/>
    <mergeCell ref="G59:G64"/>
    <mergeCell ref="Q119:Q124"/>
    <mergeCell ref="I59:I64"/>
    <mergeCell ref="T107:T112"/>
    <mergeCell ref="H41:H46"/>
    <mergeCell ref="G101:G106"/>
    <mergeCell ref="F83:F88"/>
    <mergeCell ref="H83:H88"/>
    <mergeCell ref="M137:M142"/>
    <mergeCell ref="O137:O142"/>
    <mergeCell ref="J113:J118"/>
    <mergeCell ref="O47:O52"/>
    <mergeCell ref="L113:L118"/>
    <mergeCell ref="L29:L34"/>
    <mergeCell ref="N29:N34"/>
    <mergeCell ref="B53:B58"/>
    <mergeCell ref="Q65:Q70"/>
    <mergeCell ref="E41:E46"/>
    <mergeCell ref="G41:G46"/>
    <mergeCell ref="G35:G40"/>
    <mergeCell ref="I35:I40"/>
    <mergeCell ref="T95:T100"/>
    <mergeCell ref="L95:L100"/>
    <mergeCell ref="N95:N100"/>
    <mergeCell ref="N89:N94"/>
    <mergeCell ref="P89:P94"/>
    <mergeCell ref="K29:K34"/>
    <mergeCell ref="J131:J136"/>
    <mergeCell ref="B71:B76"/>
    <mergeCell ref="B131:B136"/>
    <mergeCell ref="L131:L136"/>
    <mergeCell ref="Q83:Q88"/>
    <mergeCell ref="D131:D136"/>
    <mergeCell ref="P65:P70"/>
    <mergeCell ref="F35:F40"/>
    <mergeCell ref="O125:O130"/>
    <mergeCell ref="G125:G130"/>
    <mergeCell ref="I125:I130"/>
    <mergeCell ref="O35:O40"/>
    <mergeCell ref="D53:D58"/>
    <mergeCell ref="F47:F52"/>
    <mergeCell ref="C23:C28"/>
    <mergeCell ref="N83:N88"/>
    <mergeCell ref="P83:P88"/>
    <mergeCell ref="D119:D124"/>
    <mergeCell ref="T29:T34"/>
    <mergeCell ref="G107:G112"/>
    <mergeCell ref="T47:T52"/>
    <mergeCell ref="L47:L52"/>
    <mergeCell ref="I113:I118"/>
    <mergeCell ref="N47:N52"/>
    <mergeCell ref="K113:K118"/>
    <mergeCell ref="Q35:Q40"/>
    <mergeCell ref="D41:D46"/>
    <mergeCell ref="F41:F46"/>
    <mergeCell ref="T65:T70"/>
    <mergeCell ref="E77:E82"/>
    <mergeCell ref="O59:O64"/>
    <mergeCell ref="B137:B142"/>
    <mergeCell ref="Q59:Q64"/>
    <mergeCell ref="M95:M100"/>
    <mergeCell ref="D137:D142"/>
    <mergeCell ref="O95:O100"/>
    <mergeCell ref="C119:C124"/>
    <mergeCell ref="T131:T136"/>
    <mergeCell ref="H101:H106"/>
    <mergeCell ref="Q101:Q106"/>
    <mergeCell ref="F119:F124"/>
    <mergeCell ref="T53:T58"/>
    <mergeCell ref="H125:H130"/>
    <mergeCell ref="C89:C94"/>
    <mergeCell ref="N35:N40"/>
    <mergeCell ref="M113:M118"/>
    <mergeCell ref="C137:C142"/>
    <mergeCell ref="J53:J58"/>
    <mergeCell ref="L53:L58"/>
    <mergeCell ref="B29:B34"/>
    <mergeCell ref="O41:O46"/>
    <mergeCell ref="B23:B28"/>
    <mergeCell ref="E65:E70"/>
    <mergeCell ref="G65:G70"/>
    <mergeCell ref="E119:E124"/>
    <mergeCell ref="L119:L124"/>
    <mergeCell ref="N119:N124"/>
    <mergeCell ref="B89:B94"/>
    <mergeCell ref="D89:D94"/>
    <mergeCell ref="H71:H76"/>
    <mergeCell ref="F107:F112"/>
    <mergeCell ref="J71:J76"/>
    <mergeCell ref="H107:H112"/>
    <mergeCell ref="K53:K58"/>
    <mergeCell ref="N20:O20"/>
    <mergeCell ref="M47:M52"/>
    <mergeCell ref="P20:Q20"/>
    <mergeCell ref="P35:P40"/>
    <mergeCell ref="Q125:Q130"/>
    <mergeCell ref="L137:L142"/>
    <mergeCell ref="N53:N58"/>
    <mergeCell ref="B77:B82"/>
    <mergeCell ref="D77:D82"/>
    <mergeCell ref="K9:O13"/>
    <mergeCell ref="P59:P64"/>
    <mergeCell ref="Q131:Q136"/>
    <mergeCell ref="I71:I76"/>
    <mergeCell ref="C47:C52"/>
    <mergeCell ref="K71:K76"/>
    <mergeCell ref="N107:N112"/>
    <mergeCell ref="P101:P106"/>
    <mergeCell ref="J101:J106"/>
    <mergeCell ref="B95:B100"/>
    <mergeCell ref="Q107:Q112"/>
    <mergeCell ref="G131:G136"/>
    <mergeCell ref="H23:H28"/>
    <mergeCell ref="J23:J28"/>
    <mergeCell ref="N41:N46"/>
    <mergeCell ref="P41:P46"/>
    <mergeCell ref="D65:D70"/>
    <mergeCell ref="O101:O106"/>
    <mergeCell ref="F65:F70"/>
    <mergeCell ref="K59:K64"/>
    <mergeCell ref="K119:K124"/>
    <mergeCell ref="C59:C64"/>
    <mergeCell ref="M119:M124"/>
    <mergeCell ref="T71:T76"/>
    <mergeCell ref="P107:P112"/>
    <mergeCell ref="T113:T118"/>
    <mergeCell ref="M41:M46"/>
    <mergeCell ref="T77:T82"/>
    <mergeCell ref="V20:X20"/>
    <mergeCell ref="L77:L82"/>
    <mergeCell ref="I137:I142"/>
    <mergeCell ref="K137:K142"/>
    <mergeCell ref="C77:C82"/>
    <mergeCell ref="H29:H34"/>
    <mergeCell ref="J29:J34"/>
    <mergeCell ref="B47:B52"/>
    <mergeCell ref="C35:C40"/>
    <mergeCell ref="E35:E40"/>
    <mergeCell ref="O83:O88"/>
    <mergeCell ref="B144:N144"/>
    <mergeCell ref="M107:M112"/>
    <mergeCell ref="E107:E112"/>
    <mergeCell ref="J95:J100"/>
    <mergeCell ref="I101:I106"/>
    <mergeCell ref="J89:J94"/>
    <mergeCell ref="L89:L94"/>
    <mergeCell ref="E59:E64"/>
    <mergeCell ref="G29:G34"/>
    <mergeCell ref="F131:F136"/>
    <mergeCell ref="H131:H136"/>
    <mergeCell ref="I23:I28"/>
    <mergeCell ref="K23:K28"/>
    <mergeCell ref="L65:L70"/>
    <mergeCell ref="N65:N70"/>
    <mergeCell ref="C125:C130"/>
    <mergeCell ref="R20:U20"/>
    <mergeCell ref="E125:E130"/>
    <mergeCell ref="I89:I94"/>
    <mergeCell ref="H53:H58"/>
    <mergeCell ref="B59:B64"/>
    <mergeCell ref="D59:D64"/>
    <mergeCell ref="Q71:Q76"/>
    <mergeCell ref="O107:O112"/>
    <mergeCell ref="E131:E136"/>
    <mergeCell ref="J83:J88"/>
    <mergeCell ref="B101:B106"/>
    <mergeCell ref="D101:D106"/>
    <mergeCell ref="Q137:Q142"/>
    <mergeCell ref="K77:K82"/>
    <mergeCell ref="B119:B124"/>
    <mergeCell ref="M77:M82"/>
    <mergeCell ref="J137:J142"/>
    <mergeCell ref="T23:T28"/>
    <mergeCell ref="H47:H52"/>
    <mergeCell ref="E113:E118"/>
    <mergeCell ref="P71:P76"/>
    <mergeCell ref="J47:J52"/>
    <mergeCell ref="G113:G118"/>
    <mergeCell ref="I29:I34"/>
    <mergeCell ref="B41:B46"/>
    <mergeCell ref="B35:B40"/>
    <mergeCell ref="D35:D40"/>
    <mergeCell ref="M59:M64"/>
    <mergeCell ref="I95:I100"/>
    <mergeCell ref="B20:K20"/>
    <mergeCell ref="K95:K100"/>
    <mergeCell ref="K89:K94"/>
    <mergeCell ref="N131:N136"/>
    <mergeCell ref="P131:P136"/>
    <mergeCell ref="Q23:Q28"/>
    <mergeCell ref="F101:F106"/>
    <mergeCell ref="M65:M70"/>
    <mergeCell ref="O65:O70"/>
    <mergeCell ref="D125:D130"/>
    <mergeCell ref="F125:F130"/>
    <mergeCell ref="J35:J40"/>
    <mergeCell ref="T119:T124"/>
    <mergeCell ref="Q89:Q94"/>
    <mergeCell ref="K83:K88"/>
    <mergeCell ref="C83:C88"/>
    <mergeCell ref="M83:M88"/>
    <mergeCell ref="E83:E88"/>
    <mergeCell ref="T137:T142"/>
    <mergeCell ref="J77:J82"/>
    <mergeCell ref="O29:O34"/>
    <mergeCell ref="B107:B112"/>
    <mergeCell ref="Q29:Q34"/>
    <mergeCell ref="D107:D112"/>
    <mergeCell ref="G53:G58"/>
    <mergeCell ref="I47:I52"/>
    <mergeCell ref="F113:F118"/>
    <mergeCell ref="L20:M20"/>
    <mergeCell ref="L35:L40"/>
    <mergeCell ref="L59:L64"/>
    <mergeCell ref="H95:H100"/>
    <mergeCell ref="N59:N64"/>
    <mergeCell ref="M131:M136"/>
    <mergeCell ref="E71:E76"/>
    <mergeCell ref="O131:O136"/>
    <mergeCell ref="G71:G76"/>
    <mergeCell ref="C101:C106"/>
    <mergeCell ref="T125:T130"/>
    <mergeCell ref="L125:L130"/>
    <mergeCell ref="N125:N130"/>
    <mergeCell ref="I53:I58"/>
    <mergeCell ref="K47:K52"/>
    <mergeCell ref="F23:F28"/>
    <mergeCell ref="O113:O118"/>
    <mergeCell ref="Q113:Q118"/>
    <mergeCell ref="J41:J46"/>
    <mergeCell ref="L41:L46"/>
    <mergeCell ref="K101:K106"/>
    <mergeCell ref="B65:B70"/>
    <mergeCell ref="B83:B88"/>
    <mergeCell ref="D83:D88"/>
    <mergeCell ref="Q95:Q100"/>
    <mergeCell ref="G119:G124"/>
    <mergeCell ref="I119:I124"/>
    <mergeCell ref="L107:L112"/>
    <mergeCell ref="Q47:Q52"/>
    <mergeCell ref="N113:N118"/>
    <mergeCell ref="P113:P118"/>
    <mergeCell ref="P29:P34"/>
    <mergeCell ref="C107:C112"/>
    <mergeCell ref="F53:F58"/>
    <mergeCell ref="I41:I46"/>
    <mergeCell ref="K41:K46"/>
    <mergeCell ref="K35:K40"/>
    <mergeCell ref="M35:M40"/>
    <mergeCell ref="N77:N82"/>
    <mergeCell ref="P77:P82"/>
    <mergeCell ref="T35:T40"/>
    <mergeCell ref="E137:E142"/>
    <mergeCell ref="T59:T64"/>
    <mergeCell ref="P95:P100"/>
    <mergeCell ref="G137:G142"/>
    <mergeCell ref="T89:T94"/>
    <mergeCell ref="M101:M106"/>
    <mergeCell ref="D71:D76"/>
    <mergeCell ref="F71:F76"/>
    <mergeCell ref="I107:I112"/>
    <mergeCell ref="K125:K130"/>
    <mergeCell ref="E101:E106"/>
    <mergeCell ref="M125:M130"/>
  </mergeCells>
  <pageMargins left="0.25" right="0.25" top="0.75" bottom="0.75" header="0.5" footer="0.5"/>
  <pageSetup orientation="landscape" paperSize="8"/>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K988"/>
  <sheetViews>
    <sheetView workbookViewId="0">
      <pane ySplit="18" topLeftCell="A19" activePane="bottomLeft" state="frozen"/>
      <selection pane="bottomLeft" activeCell="A1" sqref="A1"/>
    </sheetView>
  </sheetViews>
  <sheetFormatPr baseColWidth="8" defaultColWidth="10.08984375" defaultRowHeight="16.5"/>
  <cols>
    <col width="17.81640625" customWidth="1" min="1" max="1"/>
    <col width="17.54296875" customWidth="1" min="2" max="2"/>
    <col width="16.90625" customWidth="1" min="3" max="3"/>
    <col width="16.6328125" customWidth="1" min="4" max="4"/>
    <col width="14.08984375" customWidth="1" min="5" max="5"/>
    <col width="18.1796875" customWidth="1" min="6" max="6"/>
    <col width="25.08984375" customWidth="1" min="7" max="7"/>
    <col width="42.81640625" customWidth="1" min="8" max="8"/>
    <col hidden="1" outlineLevel="1" width="17.81640625" customWidth="1" min="9" max="9"/>
    <col width="19.08984375" customWidth="1" min="10" max="10"/>
    <col width="13.36328125" customWidth="1" min="11" max="11"/>
    <col width="13" customWidth="1" min="12" max="12"/>
    <col width="18.81640625" customWidth="1" min="14" max="14"/>
    <col width="25.54296875" customWidth="1" min="15" max="15"/>
    <col width="23.90625" customWidth="1" min="16" max="16"/>
    <col width="15" customWidth="1" min="17" max="17"/>
    <col width="75.1796875" customWidth="1" min="18" max="18"/>
    <col width="35.81640625" customWidth="1" min="19" max="19"/>
    <col width="42.36328125" customWidth="1" min="20" max="20"/>
    <col width="35.81640625" customWidth="1" min="21" max="21"/>
    <col width="40.81640625" customWidth="1" min="22" max="22"/>
    <col width="39.54296875" customWidth="1" min="23" max="23"/>
    <col width="40.81640625" customWidth="1" min="24" max="24"/>
    <col width="32.36328125" customWidth="1" min="25" max="25"/>
    <col width="10.08984375" customWidth="1" min="26" max="26"/>
    <col width="10.08984375" customWidth="1" min="36" max="36"/>
  </cols>
  <sheetData>
    <row r="1" outlineLevel="1" ht="14.5" customHeight="1">
      <c r="A1" s="1" t="n"/>
      <c r="B1" s="1" t="n"/>
      <c r="C1" s="1" t="n"/>
      <c r="D1" s="1" t="n"/>
      <c r="E1" s="1" t="n"/>
      <c r="F1" s="1" t="n"/>
      <c r="G1" s="1" t="n"/>
      <c r="H1" s="1" t="n"/>
      <c r="I1" s="2" t="n"/>
      <c r="J1" s="2" t="n"/>
      <c r="K1" s="2" t="n"/>
      <c r="L1" s="2" t="n"/>
      <c r="M1" s="2" t="n"/>
      <c r="N1" s="1" t="n"/>
      <c r="O1" s="1" t="n"/>
      <c r="P1" s="1" t="n"/>
      <c r="Q1" s="1" t="n"/>
      <c r="R1" s="1" t="n"/>
      <c r="S1" s="1" t="n"/>
      <c r="T1" s="1" t="n"/>
      <c r="U1" s="1" t="n"/>
      <c r="V1" s="1" t="n"/>
      <c r="W1" s="1" t="n"/>
      <c r="X1" s="1" t="n"/>
      <c r="Y1" s="1" t="n"/>
      <c r="Z1" s="1" t="n"/>
      <c r="AA1" s="1" t="n"/>
      <c r="AB1" s="1" t="n"/>
      <c r="AC1" s="1" t="n"/>
      <c r="AD1" s="1" t="n"/>
      <c r="AE1" s="1" t="n"/>
      <c r="AF1" s="1" t="n"/>
      <c r="AG1" s="3" t="n"/>
      <c r="AH1" s="1" t="n"/>
      <c r="AI1" s="1" t="n"/>
    </row>
    <row r="2" outlineLevel="1" ht="50" customHeight="1">
      <c r="A2" s="84" t="inlineStr">
        <is>
          <t>kpmg    Inventory cost variance
 allocation (standard
cost method) –
recalculate
存货成本差异分摊（标准成本法）— 重新计算</t>
        </is>
      </c>
      <c r="B2" s="85" t="n"/>
      <c r="C2" s="85" t="n"/>
      <c r="D2" s="85" t="n"/>
      <c r="E2" s="85" t="n"/>
      <c r="F2" s="86" t="n"/>
      <c r="G2" s="86" t="n"/>
      <c r="H2" s="86" t="n"/>
      <c r="I2" s="87" t="n"/>
      <c r="J2" s="87" t="n"/>
      <c r="K2" s="87" t="n"/>
      <c r="L2" s="87" t="n"/>
      <c r="M2" s="87" t="n"/>
      <c r="N2" s="88" t="n"/>
      <c r="O2" s="88" t="n"/>
      <c r="P2" s="88" t="n"/>
      <c r="Q2" s="88" t="n"/>
      <c r="R2" s="89" t="n"/>
      <c r="S2" s="88" t="n"/>
      <c r="T2" s="88" t="n"/>
      <c r="U2" s="88" t="n"/>
      <c r="V2" s="88" t="n"/>
      <c r="W2" s="88" t="n"/>
      <c r="X2" s="88" t="n"/>
      <c r="Y2" s="88" t="n"/>
      <c r="Z2" s="88" t="n"/>
      <c r="AA2" s="88" t="n"/>
      <c r="AB2" s="88" t="n"/>
      <c r="AC2" s="88" t="n"/>
      <c r="AD2" s="88" t="n"/>
      <c r="AE2" s="88" t="n"/>
      <c r="AF2" s="88" t="n"/>
      <c r="AG2" s="88" t="n"/>
      <c r="AH2" s="88" t="n"/>
      <c r="AI2" s="88" t="n"/>
      <c r="AJ2" s="88" t="n"/>
      <c r="AK2" s="88" t="n"/>
    </row>
    <row r="3" outlineLevel="1" ht="14.5" customHeight="1">
      <c r="A3" s="90" t="inlineStr">
        <is>
          <t>(This substantive procedure template is used to test the inventory cost variance allocation) (本实质性程序模板用于测试存货成本差异分摊)</t>
        </is>
      </c>
      <c r="B3" s="90" t="n"/>
      <c r="C3" s="90" t="n"/>
      <c r="D3" s="90" t="n"/>
      <c r="E3" s="90" t="n"/>
      <c r="F3" s="90" t="n"/>
      <c r="G3" s="90" t="n"/>
      <c r="H3" s="90" t="n"/>
      <c r="I3" s="91" t="n"/>
      <c r="J3" s="91" t="n"/>
      <c r="K3" s="91" t="n"/>
      <c r="L3" s="91" t="n"/>
      <c r="M3" s="91" t="n"/>
      <c r="N3" s="90" t="n"/>
      <c r="O3" s="90" t="n"/>
      <c r="P3" s="89" t="n"/>
      <c r="Q3" s="89" t="n"/>
      <c r="R3" s="89" t="n"/>
      <c r="S3" s="89" t="n"/>
      <c r="T3" s="89" t="n"/>
      <c r="U3" s="89" t="n"/>
      <c r="V3" s="89" t="n"/>
      <c r="W3" s="89" t="n"/>
      <c r="X3" s="89" t="n"/>
      <c r="Y3" s="89" t="n"/>
      <c r="Z3" s="89" t="n"/>
      <c r="AA3" s="89" t="n"/>
      <c r="AB3" s="89" t="n"/>
      <c r="AC3" s="89" t="n"/>
      <c r="AD3" s="89" t="n"/>
      <c r="AE3" s="89" t="n"/>
      <c r="AF3" s="89" t="n"/>
      <c r="AG3" s="92" t="n"/>
      <c r="AH3" s="89" t="n"/>
      <c r="AI3" s="89" t="n"/>
      <c r="AJ3" s="88" t="n"/>
      <c r="AK3" s="88" t="n"/>
    </row>
    <row r="4" outlineLevel="1">
      <c r="A4" s="10" t="n"/>
      <c r="B4" s="10" t="n"/>
      <c r="C4" s="10" t="n"/>
      <c r="D4" s="10" t="n"/>
      <c r="E4" s="10" t="n"/>
      <c r="F4" s="10" t="n"/>
      <c r="G4" s="10" t="n"/>
      <c r="H4" s="10" t="n"/>
      <c r="I4" s="11" t="n"/>
      <c r="J4" s="11" t="n"/>
      <c r="K4" s="11" t="n"/>
      <c r="L4" s="11" t="n"/>
      <c r="M4" s="11" t="n"/>
      <c r="N4" s="10" t="n"/>
      <c r="O4" s="10" t="n"/>
      <c r="P4" s="10" t="n"/>
      <c r="Q4" s="10" t="n"/>
      <c r="R4" s="10" t="n"/>
    </row>
    <row r="5" outlineLevel="1">
      <c r="A5" s="12" t="inlineStr">
        <is>
          <t>Procedure ID 程序编号</t>
        </is>
      </c>
      <c r="C5" s="13" t="inlineStr">
        <is>
          <t>SPD03015</t>
        </is>
      </c>
      <c r="F5" s="14" t="n"/>
      <c r="G5" s="14" t="n"/>
      <c r="H5" s="14" t="n"/>
      <c r="I5" s="15" t="n"/>
      <c r="J5" s="15" t="n"/>
      <c r="K5" s="15" t="n"/>
      <c r="L5" s="15" t="n"/>
      <c r="M5" s="15" t="n"/>
      <c r="N5" s="14" t="n"/>
      <c r="O5" s="10" t="n"/>
      <c r="P5" s="10" t="n"/>
      <c r="Q5" s="10" t="n"/>
      <c r="R5" s="10" t="n"/>
    </row>
    <row r="6" outlineLevel="1" ht="26" customHeight="1">
      <c r="A6" s="16" t="inlineStr">
        <is>
          <t>Currency
币种</t>
        </is>
      </c>
      <c r="C6" s="17" t="inlineStr">
        <is>
          <t>Rmb
人民币</t>
        </is>
      </c>
      <c r="F6" s="18" t="n"/>
      <c r="G6" s="18" t="n"/>
      <c r="H6" s="18" t="n"/>
      <c r="I6" s="19" t="n"/>
      <c r="J6" s="19" t="n"/>
      <c r="K6" s="19" t="n"/>
      <c r="L6" s="19" t="n"/>
      <c r="M6" s="19" t="n"/>
      <c r="N6" s="18" t="n"/>
      <c r="P6" s="20" t="n"/>
      <c r="Q6" s="21" t="n"/>
      <c r="R6" s="10" t="n"/>
    </row>
    <row r="7" outlineLevel="1">
      <c r="A7" s="16" t="inlineStr">
        <is>
          <t>Unit (e.g. 000s, millions)
单位（例如千、百万）</t>
        </is>
      </c>
      <c r="C7" s="22" t="inlineStr">
        <is>
          <t xml:space="preserve"> </t>
        </is>
      </c>
      <c r="F7" s="14" t="n"/>
      <c r="G7" s="14" t="n"/>
      <c r="H7" s="14" t="n"/>
      <c r="I7" s="15" t="n"/>
      <c r="J7" s="15" t="n"/>
      <c r="K7" s="15" t="n"/>
      <c r="L7" s="15" t="n"/>
      <c r="M7" s="23" t="n"/>
      <c r="N7" s="24" t="n"/>
      <c r="P7" s="25" t="n"/>
      <c r="Q7" s="20" t="n"/>
      <c r="R7" s="10" t="n"/>
    </row>
    <row r="8" outlineLevel="1">
      <c r="A8" s="20" t="n"/>
      <c r="C8" s="26" t="n"/>
      <c r="F8" s="26" t="n"/>
      <c r="G8" s="26" t="n"/>
      <c r="H8" s="26" t="n"/>
      <c r="I8" s="27" t="n"/>
      <c r="J8" s="27" t="n"/>
      <c r="K8" s="27" t="n"/>
      <c r="L8" s="27" t="n"/>
      <c r="M8" s="27" t="n"/>
      <c r="N8" s="26" t="n"/>
      <c r="O8" s="20" t="n"/>
      <c r="P8" s="20" t="n"/>
      <c r="Q8" s="20" t="n"/>
      <c r="R8" s="10" t="n"/>
    </row>
    <row r="9" outlineLevel="1">
      <c r="A9" s="20" t="inlineStr">
        <is>
          <t>Period start date
期间开始日</t>
        </is>
      </c>
      <c r="C9" s="28" t="n">
        <v>45292</v>
      </c>
      <c r="F9" s="29" t="n"/>
      <c r="G9" s="29" t="n"/>
      <c r="H9" s="29" t="n"/>
      <c r="I9" s="30" t="n"/>
      <c r="J9" s="30" t="n"/>
      <c r="K9" s="30" t="n"/>
      <c r="L9" s="30" t="n"/>
      <c r="M9" s="30" t="n"/>
      <c r="N9" s="31" t="n"/>
      <c r="O9" s="20" t="n"/>
      <c r="P9" s="20" t="n"/>
      <c r="Q9" s="20" t="n"/>
      <c r="R9" s="10" t="n"/>
    </row>
    <row r="10" outlineLevel="1">
      <c r="A10" s="20" t="inlineStr">
        <is>
          <t>Period end date
期间截止日</t>
        </is>
      </c>
      <c r="C10" s="28" t="n">
        <v>45657</v>
      </c>
      <c r="F10" s="29" t="n"/>
      <c r="G10" s="29" t="n"/>
      <c r="H10" s="29" t="n"/>
      <c r="I10" s="30" t="n"/>
      <c r="J10" s="30" t="n"/>
      <c r="K10" s="30" t="n"/>
      <c r="L10" s="30" t="n"/>
      <c r="M10" s="30" t="n"/>
      <c r="N10" s="31" t="n"/>
      <c r="O10" s="20" t="n"/>
      <c r="P10" s="10" t="n"/>
      <c r="Q10" s="20" t="n"/>
      <c r="R10" s="10" t="n"/>
    </row>
    <row r="11" outlineLevel="1">
      <c r="A11" s="10" t="n"/>
      <c r="B11" s="10" t="n"/>
      <c r="C11" s="10" t="n"/>
      <c r="D11" s="10" t="n"/>
      <c r="E11" s="10" t="n"/>
      <c r="F11" s="10" t="n"/>
      <c r="G11" s="10" t="n"/>
      <c r="H11" s="10" t="n"/>
      <c r="I11" s="11" t="n"/>
      <c r="J11" s="11" t="n"/>
      <c r="K11" s="11" t="n"/>
      <c r="L11" s="11" t="n"/>
      <c r="M11" s="11" t="n"/>
      <c r="N11" s="10" t="n"/>
      <c r="O11" s="10" t="n"/>
      <c r="P11" s="10" t="n"/>
      <c r="Q11" s="10" t="n"/>
      <c r="R11" s="10" t="n"/>
    </row>
    <row r="12" outlineLevel="1">
      <c r="A12" s="10" t="n"/>
      <c r="B12" s="10" t="n"/>
      <c r="C12" s="10" t="n"/>
      <c r="D12" s="10" t="n"/>
      <c r="E12" s="10" t="n"/>
      <c r="F12" s="10" t="n"/>
      <c r="G12" s="10" t="n"/>
      <c r="H12" s="10" t="n"/>
      <c r="I12" s="11" t="n"/>
      <c r="J12" s="11" t="n"/>
      <c r="K12" s="11" t="n"/>
      <c r="L12" s="11" t="n"/>
      <c r="M12" s="11" t="n"/>
      <c r="N12" s="10" t="n"/>
      <c r="O12" s="10" t="n"/>
      <c r="P12" s="10" t="n"/>
      <c r="Q12" s="10" t="n"/>
      <c r="R12" s="10" t="n"/>
    </row>
    <row r="13" outlineLevel="1" ht="29.75" customHeight="1">
      <c r="A13" s="32" t="inlineStr">
        <is>
          <t>The testing steps are the steps listed for the procedure in the workflow screen. Add additional rows and columns as necessary if more testing steps are needed.
测试步骤是指工作流程工作屏中列出的本程序相关步骤。如需增加测试步骤，请根据需要增加表格的行数和列数。</t>
        </is>
      </c>
      <c r="R13" s="10" t="n"/>
    </row>
    <row r="14" outlineLevel="1" ht="29.15" customHeight="1">
      <c r="A14" s="32" t="inlineStr">
        <is>
          <t>If the sample size for the substantive procedure is greater than the number of rows in the table below, copy and paste rows rather than inserting blank rows, to ensure that the formulas and pick-list options flow down to all rows.
如果实质性程序的样本量超过下表行数，请进行复制粘贴（而非插入空白行）以确保公式和列表选项覆盖所有行。</t>
        </is>
      </c>
      <c r="R14" s="10" t="n"/>
    </row>
    <row r="15" outlineLevel="1" ht="17" customHeight="1">
      <c r="A15" s="10" t="n"/>
      <c r="B15" s="10" t="n"/>
      <c r="C15" s="10" t="n"/>
      <c r="D15" s="10" t="n"/>
      <c r="E15" s="10" t="n"/>
      <c r="F15" s="10" t="n"/>
      <c r="G15" s="10" t="n"/>
      <c r="H15" s="10" t="n"/>
      <c r="I15" s="11" t="n"/>
      <c r="J15" s="11" t="n"/>
      <c r="K15" s="11" t="n"/>
      <c r="L15" s="11" t="n"/>
      <c r="M15" s="11" t="n"/>
      <c r="N15" s="10" t="n"/>
      <c r="O15" s="10" t="n"/>
      <c r="P15" s="10" t="n"/>
      <c r="Q15" s="10" t="n"/>
      <c r="R15" s="10" t="n"/>
    </row>
    <row r="16" ht="29.75" customHeight="1">
      <c r="A16" s="33" t="n"/>
      <c r="B16" s="34" t="inlineStr">
        <is>
          <t>Per production report/sub-ledger
基于生产报告/明细账</t>
        </is>
      </c>
      <c r="C16" s="82" t="n"/>
      <c r="D16" s="82" t="n"/>
      <c r="E16" s="82" t="n"/>
      <c r="F16" s="82" t="n"/>
      <c r="G16" s="83" t="n"/>
      <c r="H16" s="35" t="inlineStr">
        <is>
          <t>Supporting document
相关文件</t>
        </is>
      </c>
      <c r="I16" s="83" t="n"/>
      <c r="J16" s="36" t="n"/>
      <c r="K16" s="36" t="inlineStr">
        <is>
          <t>4 = Reperform the calculation</t>
        </is>
      </c>
      <c r="L16" s="82" t="n"/>
      <c r="M16" s="82" t="n"/>
      <c r="N16" s="37" t="n"/>
      <c r="O16" s="38" t="inlineStr">
        <is>
          <t>Testing steps
测试步骤</t>
        </is>
      </c>
      <c r="P16" s="82" t="n"/>
      <c r="Q16" s="83" t="n"/>
      <c r="R16" s="39" t="n"/>
      <c r="AJ16" s="40" t="n"/>
    </row>
    <row r="17" ht="131" customHeight="1">
      <c r="A17" s="41" t="inlineStr">
        <is>
          <t>序号</t>
        </is>
      </c>
      <c r="B17" s="41" t="inlineStr">
        <is>
          <t xml:space="preserve">物料 ID
</t>
        </is>
      </c>
      <c r="C17" s="42" t="inlineStr">
        <is>
          <t>期间</t>
        </is>
      </c>
      <c r="D17" s="42" t="inlineStr">
        <is>
          <t>期初库存</t>
        </is>
      </c>
      <c r="E17" s="42" t="inlineStr">
        <is>
          <t>期初差异金额</t>
        </is>
      </c>
      <c r="F17" s="42" t="inlineStr">
        <is>
          <t>本期入库</t>
        </is>
      </c>
      <c r="G17" s="42" t="inlineStr">
        <is>
          <t>本月新增差异金额</t>
        </is>
      </c>
      <c r="H17" s="42" t="inlineStr">
        <is>
          <t>本月出库分摊的差异金额</t>
        </is>
      </c>
      <c r="I17" s="43" t="inlineStr">
        <is>
          <t>Working paper reference
工作底稿索引</t>
        </is>
      </c>
      <c r="J17" s="44" t="inlineStr">
        <is>
          <t>[Other RDE, if applicable (please specify)
其他相关数据要素，如适用（请注明）]</t>
        </is>
      </c>
      <c r="K17" s="45" t="inlineStr">
        <is>
          <t>The stage of completion
完成阶段</t>
        </is>
      </c>
      <c r="L17" s="46" t="inlineStr">
        <is>
          <t>重新计算差异分摊率</t>
        </is>
      </c>
      <c r="M17" s="46" t="inlineStr">
        <is>
          <t>本月出库</t>
        </is>
      </c>
      <c r="N17" s="47" t="inlineStr">
        <is>
          <t xml:space="preserve">
重新计算本月出库分摊的差异金额</t>
        </is>
      </c>
      <c r="O17" s="48" t="inlineStr">
        <is>
          <t>Variance
差异</t>
        </is>
      </c>
      <c r="P17" s="49" t="inlineStr">
        <is>
          <t xml:space="preserve">评价期末存货差异计算方法的合理性。
如果实际生产接近正常产能，则根据实际生产水平评估是否会导致对制成品的差异进行系统分配，以评估期末存货是否按照实体的成本计算公式（即先进先出、平均成本等）。'1. Evaluate the reasonableness of the approach of calculating the variances included within inventory as at the period end. Assess whether it results in a systematic allocation of the variances to the manufactured goods, based on actual production levels if actual production approximates normal capacity in order to assess whether the ending inventory is recorded in accordance with the entity’s costing formula (i.e. FIFO, average, etc.).
</t>
        </is>
      </c>
      <c r="Q17" s="50" t="inlineStr">
        <is>
          <t xml:space="preserve">在根据完成阶段（即在制品、制成品）分配人工/间接制造费用的情况下，评估分配的合理性。2.To the extent labor/overheads are allocated based on the stage of completion (i.e. work-in-progress, manufactured
finished goods) evaluate the reasonableness of the allocation.
</t>
        </is>
      </c>
      <c r="R17" s="50" t="inlineStr">
        <is>
          <t>3. Vouch the data used in the calculation to relevant documentation.
将计算中使用的数据核对至相应的支持性文件。</t>
        </is>
      </c>
      <c r="S17" s="51" t="inlineStr">
        <is>
          <t>Notes
注释</t>
        </is>
      </c>
      <c r="T17" s="52" t="inlineStr">
        <is>
          <t>Learning points</t>
        </is>
      </c>
      <c r="AJ17" s="40" t="n"/>
      <c r="AK17" s="40" t="n"/>
    </row>
    <row r="18" ht="59.5" customHeight="1">
      <c r="A18" s="53" t="n"/>
      <c r="B18" s="53" t="n"/>
      <c r="C18" s="54" t="n"/>
      <c r="D18" s="55" t="inlineStr">
        <is>
          <t>A-差异分摊表/CKM3</t>
        </is>
      </c>
      <c r="E18" s="55" t="inlineStr">
        <is>
          <t>B-差异分摊表/CKM3</t>
        </is>
      </c>
      <c r="F18" s="55" t="inlineStr">
        <is>
          <t>C-差异分摊表/CKM3</t>
        </is>
      </c>
      <c r="G18" s="55" t="inlineStr">
        <is>
          <t>D-差异分摊表/CKM3</t>
        </is>
      </c>
      <c r="H18" s="55" t="inlineStr">
        <is>
          <t>E-差异分摊表/CKM3</t>
        </is>
      </c>
      <c r="I18" s="55" t="n"/>
      <c r="J18" s="55" t="n"/>
      <c r="K18" s="55" t="n"/>
      <c r="L18" s="55" t="inlineStr">
        <is>
          <t>F=（B+D)/(A+C)</t>
        </is>
      </c>
      <c r="M18" s="55" t="inlineStr">
        <is>
          <t>G-差异分摊表/CKM3</t>
        </is>
      </c>
      <c r="N18" s="55" t="inlineStr">
        <is>
          <t>H=F*G</t>
        </is>
      </c>
      <c r="O18" s="55" t="inlineStr">
        <is>
          <t>I=H-E</t>
        </is>
      </c>
      <c r="P18" s="56" t="n"/>
      <c r="Q18" s="56" t="n"/>
      <c r="R18" s="56" t="n"/>
      <c r="S18" s="56" t="n"/>
      <c r="AJ18" s="40" t="n"/>
      <c r="AK18" s="40" t="n"/>
    </row>
    <row r="19" ht="277.25" customHeight="1">
      <c r="A19" s="57" t="inlineStr">
        <is>
          <t>1</t>
        </is>
      </c>
      <c r="B19" s="57">
        <f>'SPD03014_IRM(SAP)'!C147</f>
        <v/>
      </c>
      <c r="C19" s="57" t="n">
        <v>202412</v>
      </c>
      <c r="D19" s="58">
        <f>'CKM3'!Z10</f>
        <v/>
      </c>
      <c r="E19" s="59">
        <f>'CKM3'!Z11</f>
        <v/>
      </c>
      <c r="F19" s="58">
        <f>'CKM3'!Z12</f>
        <v/>
      </c>
      <c r="G19" s="59">
        <f>'CKM3'!Z13</f>
        <v/>
      </c>
      <c r="H19" s="59">
        <f>'CKM3'!Z15</f>
        <v/>
      </c>
      <c r="I19" s="60" t="inlineStr">
        <is>
          <t>N/A</t>
        </is>
      </c>
      <c r="J19"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19" s="62" t="n"/>
      <c r="L19" s="63">
        <f>(E19+G19)/(D19+F19)</f>
        <v/>
      </c>
      <c r="M19" s="58">
        <f>'CKM3'!Z14</f>
        <v/>
      </c>
      <c r="N19" s="63">
        <f>M19*L19</f>
        <v/>
      </c>
      <c r="O19" s="63">
        <f>N19-H19</f>
        <v/>
      </c>
      <c r="P19" s="61" t="inlineStr">
        <is>
          <t>Reasonable合理</t>
        </is>
      </c>
      <c r="Q19" s="61" t="inlineStr">
        <is>
          <t>Reasonable合理</t>
        </is>
      </c>
      <c r="R19" s="61" t="inlineStr">
        <is>
          <t>Agrees相符</t>
        </is>
      </c>
      <c r="S19" s="64" t="n"/>
      <c r="T19" s="65" t="n"/>
      <c r="U19" s="65" t="n"/>
      <c r="AJ19" s="40" t="n"/>
      <c r="AK19" s="40" t="n"/>
    </row>
    <row r="20" ht="277.25" customHeight="1">
      <c r="A20" s="57" t="inlineStr">
        <is>
          <t>2</t>
        </is>
      </c>
      <c r="B20" s="66">
        <f>'SPD03014_IRM(SAP)'!C151</f>
        <v/>
      </c>
      <c r="C20" s="57" t="n">
        <v>202407</v>
      </c>
      <c r="D20" s="58">
        <f>'CKM3'!Z56</f>
        <v/>
      </c>
      <c r="E20" s="59">
        <f>'CKM3'!Z57</f>
        <v/>
      </c>
      <c r="F20" s="58">
        <f>'CKM3'!Z58</f>
        <v/>
      </c>
      <c r="G20" s="59">
        <f>'CKM3'!Z59</f>
        <v/>
      </c>
      <c r="H20" s="59">
        <f>'CKM3'!Z61</f>
        <v/>
      </c>
      <c r="I20" s="60" t="inlineStr">
        <is>
          <t>N/A</t>
        </is>
      </c>
      <c r="J20"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0" s="62" t="n"/>
      <c r="L20" s="63">
        <f>(E20+G20)/(D20+F20)</f>
        <v/>
      </c>
      <c r="M20" s="58">
        <f>'CKM3'!Z60</f>
        <v/>
      </c>
      <c r="N20" s="63">
        <f>M20*L20</f>
        <v/>
      </c>
      <c r="O20" s="63">
        <f>N20-H20</f>
        <v/>
      </c>
      <c r="P20" s="61" t="inlineStr">
        <is>
          <t>Reasonable合理</t>
        </is>
      </c>
      <c r="Q20" s="61" t="inlineStr">
        <is>
          <t>Reasonable合理</t>
        </is>
      </c>
      <c r="R20" s="61" t="inlineStr">
        <is>
          <t>Agrees相符</t>
        </is>
      </c>
      <c r="S20" s="64" t="n"/>
      <c r="T20" s="65" t="n"/>
      <c r="U20" s="65" t="n"/>
      <c r="AJ20" s="40" t="n"/>
      <c r="AK20" s="40" t="n"/>
    </row>
    <row r="21" ht="277.25" customHeight="1">
      <c r="A21" s="57" t="inlineStr">
        <is>
          <t>3</t>
        </is>
      </c>
      <c r="B21" s="66">
        <f>'SPD03014_IRM(SAP)'!C155</f>
        <v/>
      </c>
      <c r="C21" s="57" t="n">
        <v>202509</v>
      </c>
      <c r="D21" s="58">
        <f>'CKM3'!Z117</f>
        <v/>
      </c>
      <c r="E21" s="59">
        <f>'CKM3'!Z118</f>
        <v/>
      </c>
      <c r="F21" s="58">
        <f>'CKM3'!Z119</f>
        <v/>
      </c>
      <c r="G21" s="59">
        <f>'CKM3'!Z120</f>
        <v/>
      </c>
      <c r="H21" s="59">
        <f>'CKM3'!Z122</f>
        <v/>
      </c>
      <c r="I21" s="60" t="inlineStr">
        <is>
          <t>N/A</t>
        </is>
      </c>
      <c r="J21"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1" s="62" t="n"/>
      <c r="L21" s="63">
        <f>(E21+G21)/(D21+F21)</f>
        <v/>
      </c>
      <c r="M21" s="58">
        <f>'CKM3'!Z121</f>
        <v/>
      </c>
      <c r="N21" s="63">
        <f>M21*L21</f>
        <v/>
      </c>
      <c r="O21" s="63">
        <f>N21-H21</f>
        <v/>
      </c>
      <c r="P21" s="61" t="inlineStr">
        <is>
          <t>Reasonable合理</t>
        </is>
      </c>
      <c r="Q21" s="61" t="inlineStr">
        <is>
          <t>Reasonable合理</t>
        </is>
      </c>
      <c r="R21" s="61" t="inlineStr">
        <is>
          <t>Agrees相符</t>
        </is>
      </c>
      <c r="S21" s="64" t="n"/>
      <c r="T21" s="65" t="n"/>
      <c r="U21" s="65" t="n"/>
      <c r="AJ21" s="40" t="n"/>
      <c r="AK21" s="40" t="n"/>
    </row>
    <row r="22" ht="277.25" customHeight="1">
      <c r="A22" s="57" t="n">
        <v>4</v>
      </c>
      <c r="B22" s="66">
        <f>'SPD03014_IRM(SAP)'!C162</f>
        <v/>
      </c>
      <c r="C22" s="57" t="n">
        <v>202512</v>
      </c>
      <c r="D22" s="58">
        <f>'CKM3'!Z167</f>
        <v/>
      </c>
      <c r="E22" s="59">
        <f>'CKM3'!Z168</f>
        <v/>
      </c>
      <c r="F22" s="58">
        <f>'CKM3'!Z169</f>
        <v/>
      </c>
      <c r="G22" s="59">
        <f>'CKM3'!Z170</f>
        <v/>
      </c>
      <c r="H22" s="59">
        <f>'CKM3'!Z172</f>
        <v/>
      </c>
      <c r="I22" s="60" t="inlineStr">
        <is>
          <t>N/A</t>
        </is>
      </c>
      <c r="J22"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2" s="62" t="n"/>
      <c r="L22" s="63">
        <f>(E22+G22)/(D22+F22)</f>
        <v/>
      </c>
      <c r="M22" s="58">
        <f>'CKM3'!Z171</f>
        <v/>
      </c>
      <c r="N22" s="63">
        <f>M22*L22</f>
        <v/>
      </c>
      <c r="O22" s="63">
        <f>N22-H22</f>
        <v/>
      </c>
      <c r="P22" s="61" t="inlineStr">
        <is>
          <t>Reasonable合理</t>
        </is>
      </c>
      <c r="Q22" s="61" t="inlineStr">
        <is>
          <t>Reasonable合理</t>
        </is>
      </c>
      <c r="R22" s="61" t="inlineStr">
        <is>
          <t>Agrees相符</t>
        </is>
      </c>
      <c r="S22" s="64" t="n"/>
      <c r="T22" s="65" t="n"/>
      <c r="U22" s="65" t="n"/>
      <c r="AJ22" s="40" t="n"/>
      <c r="AK22" s="40" t="n"/>
    </row>
    <row r="23" ht="277.25" customHeight="1">
      <c r="A23" s="57" t="n">
        <v>5</v>
      </c>
      <c r="B23" s="66">
        <f>'SPD03014_IRM(SAP)'!C163</f>
        <v/>
      </c>
      <c r="C23" s="57" t="n">
        <v>202512</v>
      </c>
      <c r="D23" s="58">
        <f>'CKM3'!Z213</f>
        <v/>
      </c>
      <c r="E23" s="59">
        <f>'CKM3'!Z214</f>
        <v/>
      </c>
      <c r="F23" s="58">
        <f>'CKM3'!Z215</f>
        <v/>
      </c>
      <c r="G23" s="59">
        <f>'CKM3'!Z216</f>
        <v/>
      </c>
      <c r="H23" s="59">
        <f>'CKM3'!Z218</f>
        <v/>
      </c>
      <c r="I23" s="60" t="inlineStr">
        <is>
          <t>N/A</t>
        </is>
      </c>
      <c r="J23"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3" s="62" t="n"/>
      <c r="L23" s="63">
        <f>(E23+G23)/(D23+F23)</f>
        <v/>
      </c>
      <c r="M23" s="58">
        <f>'CKM3'!Z217</f>
        <v/>
      </c>
      <c r="N23" s="63">
        <f>M23*L23</f>
        <v/>
      </c>
      <c r="O23" s="63">
        <f>N23-H23</f>
        <v/>
      </c>
      <c r="P23" s="61" t="inlineStr">
        <is>
          <t>Reasonable合理</t>
        </is>
      </c>
      <c r="Q23" s="61" t="inlineStr">
        <is>
          <t>Reasonable合理</t>
        </is>
      </c>
      <c r="R23" s="61" t="inlineStr">
        <is>
          <t>Agrees相符</t>
        </is>
      </c>
      <c r="S23" s="64" t="n"/>
      <c r="T23" s="65" t="n"/>
      <c r="U23" s="65" t="n"/>
      <c r="AJ23" s="40" t="n"/>
      <c r="AK23" s="40" t="n"/>
    </row>
    <row r="24">
      <c r="F24" s="40" t="n"/>
      <c r="G24" s="40" t="n"/>
      <c r="H24" s="40" t="n"/>
      <c r="I24" s="39" t="n"/>
      <c r="J24" s="39" t="n"/>
      <c r="K24" s="39" t="n"/>
      <c r="L24" s="39" t="n"/>
      <c r="M24" s="39" t="n"/>
      <c r="N24" s="39" t="n"/>
      <c r="O24" s="39" t="n"/>
      <c r="P24" s="39" t="n"/>
      <c r="Q24" s="39" t="n"/>
      <c r="R24" s="39" t="n"/>
    </row>
    <row r="25">
      <c r="A25" s="40" t="inlineStr">
        <is>
          <t>Note: 项目组需根据被审计单位制定的存货差异分配方法修改重新计算的公式。</t>
        </is>
      </c>
      <c r="F25" s="40" t="n"/>
      <c r="G25" s="40" t="n"/>
      <c r="H25" s="40" t="n"/>
      <c r="I25" s="39" t="n"/>
      <c r="J25" s="39" t="n"/>
      <c r="K25" s="39" t="n"/>
      <c r="L25" s="39" t="n"/>
      <c r="M25" s="39" t="n"/>
      <c r="N25" s="39" t="n"/>
      <c r="O25" s="39" t="n"/>
      <c r="P25" s="39" t="n"/>
      <c r="Q25" s="39" t="n"/>
      <c r="R25" s="39" t="n"/>
    </row>
    <row r="26">
      <c r="F26" s="40" t="n"/>
      <c r="G26" s="40" t="n"/>
      <c r="H26" s="40" t="n"/>
      <c r="I26" s="39" t="n"/>
      <c r="J26" s="39" t="n"/>
      <c r="K26" s="39" t="n"/>
      <c r="L26" s="39" t="n"/>
      <c r="M26" s="39" t="n"/>
      <c r="N26" s="39" t="n"/>
      <c r="O26" s="39" t="n"/>
      <c r="P26" s="39" t="n"/>
      <c r="Q26" s="39" t="n"/>
      <c r="R26" s="39" t="n"/>
    </row>
    <row r="27" ht="28.5" customHeight="1">
      <c r="A27" s="67" t="inlineStr">
        <is>
          <t>Note:
注释：</t>
        </is>
      </c>
    </row>
    <row r="28" ht="28.5" customHeight="1">
      <c r="A28" s="68" t="inlineStr">
        <is>
          <t xml:space="preserve">The design of this procedure template assumes that the relevant considerations for the procedure will be appropriately documented on the workflow screen for the procedure, unless they are directly addressed within this procedure template.
本程序模板的设计基于以下假设：本程序的相关考虑事项将恰当记录于与本程序有关的工作流程工作屏中，除非它们已由本程序模板直接应对。 </t>
        </is>
      </c>
    </row>
    <row r="29" ht="28.5" customHeight="1"/>
    <row r="30">
      <c r="A30" s="68" t="inlineStr">
        <is>
          <t xml:space="preserve">The engagement team determines whether additional tick marks, other notations and/or additional information are relevant to document on this procedure template based on any custom steps that were added to the substantive procedure and/or the results obtained from performing the steps above.
项目组应根据自主添加的任何实质性程序步骤和/或通过执行这些步骤获取的结果，确定是否需在本程序模板中添加额外的标记、其他注释及/或其他信息。 </t>
        </is>
      </c>
    </row>
    <row r="986">
      <c r="A986" s="40" t="inlineStr">
        <is>
          <t>Yes 
是</t>
        </is>
      </c>
      <c r="O986" s="40" t="inlineStr">
        <is>
          <t>Current period
本期</t>
        </is>
      </c>
    </row>
    <row r="987">
      <c r="A987" s="40" t="inlineStr">
        <is>
          <t>No 
否</t>
        </is>
      </c>
      <c r="O987" s="40" t="inlineStr">
        <is>
          <t>Subsequent period
后续期间</t>
        </is>
      </c>
    </row>
    <row r="988">
      <c r="A988" s="40" t="inlineStr">
        <is>
          <t>N/A
不适用</t>
        </is>
      </c>
    </row>
  </sheetData>
  <mergeCells count="8">
    <mergeCell ref="A14:Q14"/>
    <mergeCell ref="B16:G16"/>
    <mergeCell ref="A30:R30"/>
    <mergeCell ref="H16:I16"/>
    <mergeCell ref="A28:Q28"/>
    <mergeCell ref="K16:M16"/>
    <mergeCell ref="O16:Q16"/>
    <mergeCell ref="A13:Q13"/>
  </mergeCells>
  <pageMargins left="0.25" right="0.18" top="0.7480314960629921" bottom="0.7480314960629921" header="0.5" footer="0.5"/>
  <pageSetup orientation="landscape" paperSize="9"/>
</worksheet>
</file>

<file path=xl/worksheets/sheet4.xml><?xml version="1.0" encoding="utf-8"?>
<worksheet xmlns="http://schemas.openxmlformats.org/spreadsheetml/2006/main">
  <sheetPr>
    <outlinePr summaryBelow="1" summaryRight="1"/>
    <pageSetUpPr/>
  </sheetPr>
  <dimension ref="A1:AA218"/>
  <sheetViews>
    <sheetView workbookViewId="0">
      <selection activeCell="A1" sqref="A1"/>
    </sheetView>
  </sheetViews>
  <sheetFormatPr baseColWidth="8" defaultColWidth="8.90625" defaultRowHeight="14.5"/>
  <cols>
    <col width="8.90625" customWidth="1" min="1" max="1"/>
    <col width="17.54296875" customWidth="1" min="25" max="25"/>
    <col width="10.81640625" customWidth="1" min="26" max="26"/>
    <col width="8.90625" customWidth="1" min="27" max="27"/>
  </cols>
  <sheetData>
    <row r="1">
      <c r="A1" s="69" t="inlineStr">
        <is>
          <t>1.2024年订单编号：11000437  成本中心：1100P00001</t>
        </is>
      </c>
    </row>
    <row r="10">
      <c r="Y10" s="70" t="inlineStr">
        <is>
          <t>期数库存交易数量</t>
        </is>
      </c>
      <c r="Z10" s="71" t="n">
        <v>30</v>
      </c>
    </row>
    <row r="11">
      <c r="Y11" s="70" t="inlineStr">
        <is>
          <t>期初价格差异</t>
        </is>
      </c>
      <c r="Z11" s="71" t="n">
        <v>-15066.9</v>
      </c>
    </row>
    <row r="12">
      <c r="Y12" s="70" t="inlineStr">
        <is>
          <t>收货库存交易数量</t>
        </is>
      </c>
      <c r="Z12" s="71" t="n">
        <v>0</v>
      </c>
    </row>
    <row r="13">
      <c r="Y13" s="70" t="inlineStr">
        <is>
          <t>收货价格差异</t>
        </is>
      </c>
      <c r="Z13" s="71" t="n">
        <v>0</v>
      </c>
    </row>
    <row r="14">
      <c r="Y14" s="70" t="inlineStr">
        <is>
          <t>消耗库存交易数量</t>
        </is>
      </c>
      <c r="Z14" s="71" t="n">
        <v>30</v>
      </c>
    </row>
    <row r="15">
      <c r="Y15" s="70" t="inlineStr">
        <is>
          <t>消耗价格差异</t>
        </is>
      </c>
      <c r="Z15" s="71" t="n">
        <v>-15066.9</v>
      </c>
    </row>
    <row r="49">
      <c r="A49" s="69" t="inlineStr">
        <is>
          <t>2.2024年订单编号：11000027  成本中心：1100P00002</t>
        </is>
      </c>
    </row>
    <row r="56">
      <c r="Y56" s="70" t="inlineStr">
        <is>
          <t>期数库存交易数量</t>
        </is>
      </c>
      <c r="Z56" s="71" t="n">
        <v>117</v>
      </c>
    </row>
    <row r="57">
      <c r="Y57" s="70" t="inlineStr">
        <is>
          <t>期初价格差异</t>
        </is>
      </c>
      <c r="Z57" s="71" t="n">
        <v>-589.6799999999999</v>
      </c>
      <c r="AA57" s="72" t="inlineStr">
        <is>
          <t>重新评估</t>
        </is>
      </c>
    </row>
    <row r="58">
      <c r="Y58" s="70" t="inlineStr">
        <is>
          <t>收货库存交易数量</t>
        </is>
      </c>
      <c r="Z58" s="71" t="n">
        <v>31</v>
      </c>
    </row>
    <row r="59">
      <c r="Y59" s="70" t="inlineStr">
        <is>
          <t>收货价格差异</t>
        </is>
      </c>
      <c r="Z59" s="71" t="n">
        <v>-158.72</v>
      </c>
    </row>
    <row r="60">
      <c r="Y60" s="70" t="inlineStr">
        <is>
          <t>消耗库存交易数量</t>
        </is>
      </c>
      <c r="Z60" s="71" t="n">
        <v>45</v>
      </c>
    </row>
    <row r="61">
      <c r="Y61" s="70" t="inlineStr">
        <is>
          <t>消耗价格差异</t>
        </is>
      </c>
      <c r="Z61" s="71" t="n">
        <v>-227.55</v>
      </c>
    </row>
    <row r="99">
      <c r="A99" s="69" t="inlineStr">
        <is>
          <t>3.2025年订单编号：11001846  成本中心：1100P00002</t>
        </is>
      </c>
    </row>
    <row r="117">
      <c r="Y117" s="70" t="inlineStr">
        <is>
          <t>期数库存交易数量</t>
        </is>
      </c>
      <c r="Z117" s="71" t="n">
        <v>22</v>
      </c>
    </row>
    <row r="118">
      <c r="Y118" s="70" t="inlineStr">
        <is>
          <t>期初价格差异</t>
        </is>
      </c>
      <c r="Z118" s="71" t="n">
        <v>1408</v>
      </c>
    </row>
    <row r="119">
      <c r="Y119" s="70" t="inlineStr">
        <is>
          <t>收货库存交易数量</t>
        </is>
      </c>
      <c r="Z119" s="71" t="n">
        <v>0</v>
      </c>
    </row>
    <row r="120">
      <c r="Y120" s="70" t="inlineStr">
        <is>
          <t>收货价格差异</t>
        </is>
      </c>
      <c r="Z120" s="71" t="n">
        <v>0</v>
      </c>
    </row>
    <row r="121">
      <c r="Y121" s="70" t="inlineStr">
        <is>
          <t>消耗库存交易数量</t>
        </is>
      </c>
      <c r="Z121" s="71" t="n">
        <v>2</v>
      </c>
    </row>
    <row r="122">
      <c r="Y122" s="70" t="inlineStr">
        <is>
          <t>消耗价格差异</t>
        </is>
      </c>
      <c r="Z122" s="71" t="n">
        <v>128</v>
      </c>
    </row>
    <row r="148">
      <c r="A148" s="69" t="inlineStr">
        <is>
          <t>4.2025年订单编号：11002963  成本中心：1100P00002</t>
        </is>
      </c>
    </row>
    <row r="167">
      <c r="Y167" s="70" t="inlineStr">
        <is>
          <t>期数库存交易数量</t>
        </is>
      </c>
      <c r="Z167" s="71" t="n">
        <v>32</v>
      </c>
    </row>
    <row r="168">
      <c r="Y168" s="70" t="inlineStr">
        <is>
          <t>期初价格差异</t>
        </is>
      </c>
      <c r="Z168" s="71" t="n">
        <v>-30343.32</v>
      </c>
    </row>
    <row r="169">
      <c r="Y169" s="70" t="inlineStr">
        <is>
          <t>收货库存交易数量</t>
        </is>
      </c>
      <c r="Z169" s="71" t="n">
        <v>3</v>
      </c>
    </row>
    <row r="170">
      <c r="Y170" s="70" t="inlineStr">
        <is>
          <t>收货价格差异</t>
        </is>
      </c>
      <c r="Z170" s="71" t="n">
        <v>800</v>
      </c>
    </row>
    <row r="171">
      <c r="Y171" s="70" t="inlineStr">
        <is>
          <t>消耗库存交易数量</t>
        </is>
      </c>
      <c r="Z171" s="71" t="n">
        <v>4</v>
      </c>
    </row>
    <row r="172">
      <c r="Y172" s="70" t="inlineStr">
        <is>
          <t>消耗价格差异</t>
        </is>
      </c>
      <c r="Z172" s="71" t="n">
        <v>-3376.38</v>
      </c>
    </row>
    <row r="197">
      <c r="A197" s="69" t="inlineStr">
        <is>
          <t>5.2025年订单编号：11004120  成本中心：1100P00001</t>
        </is>
      </c>
    </row>
    <row r="213">
      <c r="Y213" s="70" t="inlineStr">
        <is>
          <t>期数库存交易数量</t>
        </is>
      </c>
      <c r="Z213" s="71" t="n">
        <v>0</v>
      </c>
    </row>
    <row r="214">
      <c r="Y214" s="70" t="inlineStr">
        <is>
          <t>期初价格差异</t>
        </is>
      </c>
      <c r="Z214" s="71" t="n">
        <v>0</v>
      </c>
    </row>
    <row r="215">
      <c r="Y215" s="70" t="inlineStr">
        <is>
          <t>收货库存交易数量</t>
        </is>
      </c>
      <c r="Z215" s="71" t="n">
        <v>1</v>
      </c>
    </row>
    <row r="216">
      <c r="Y216" s="70" t="inlineStr">
        <is>
          <t>收货价格差异</t>
        </is>
      </c>
      <c r="Z216" s="71" t="n">
        <v>26986.29</v>
      </c>
    </row>
    <row r="217">
      <c r="Y217" s="70" t="inlineStr">
        <is>
          <t>消耗库存交易数量</t>
        </is>
      </c>
      <c r="Z217" s="71" t="n">
        <v>1</v>
      </c>
    </row>
    <row r="218">
      <c r="Y218" s="70" t="inlineStr">
        <is>
          <t>消耗价格差异</t>
        </is>
      </c>
      <c r="Z218" s="71" t="n">
        <v>26986.29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2026-06-23T13:56:43Z</dcterms:created>
  <dcterms:modified xmlns:dcterms="http://purl.org/dc/terms/" xmlns:xsi="http://www.w3.org/2001/XMLSchema-instance" xsi:type="dcterms:W3CDTF">2026-06-23T15:19:05Z</dcterms:modified>
</cp:coreProperties>
</file>